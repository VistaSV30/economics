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-105" yWindow="-105" windowWidth="19440" windowHeight="11760" activeTab="3"/>
  </bookViews>
  <sheets>
    <sheet name="node" sheetId="1" r:id="rId1"/>
    <sheet name="edge" sheetId="5" r:id="rId2"/>
    <sheet name="weight" sheetId="4" r:id="rId3"/>
    <sheet name="Word" sheetId="8" r:id="rId4"/>
    <sheet name="Mtx" sheetId="9" state="hidden" r:id="rId5"/>
    <sheet name="Лист1" sheetId="10" state="hidden" r:id="rId6"/>
    <sheet name="Лист2" sheetId="11" state="hidden" r:id="rId7"/>
    <sheet name="Лист3" sheetId="12" state="hidden" r:id="rId8"/>
    <sheet name="node_E" sheetId="15" r:id="rId9"/>
    <sheet name="edge_E" sheetId="16" r:id="rId10"/>
    <sheet name="weight_E" sheetId="13" r:id="rId11"/>
    <sheet name="Word_E" sheetId="14" r:id="rId12"/>
  </sheets>
  <functionGroups builtInGroupCount="17"/>
  <definedNames>
    <definedName name="_xlnm._FilterDatabase" localSheetId="1" hidden="1">edge!#REF!</definedName>
    <definedName name="_xlnm._FilterDatabase" localSheetId="9" hidden="1">edge_E!#REF!</definedName>
    <definedName name="_xlnm._FilterDatabase" localSheetId="4" hidden="1">Mtx!$A$1:$A$307</definedName>
    <definedName name="_xlnm._FilterDatabase" localSheetId="2" hidden="1">weight!$A$1:$J$306</definedName>
    <definedName name="_xlnm._FilterDatabase" localSheetId="10" hidden="1">weight_E!$A$1:$J$47</definedName>
    <definedName name="_xlnm._FilterDatabase" localSheetId="3" hidden="1">Word!$A$1:$D$306</definedName>
    <definedName name="_xlnm._FilterDatabase" localSheetId="11" hidden="1">Word_E!$A$1:$D$47</definedName>
    <definedName name="edge" localSheetId="1">edge!#REF!</definedName>
    <definedName name="edge" localSheetId="9">edge_E!#REF!</definedName>
    <definedName name="edge_exp" localSheetId="6">Лист2!$A$1:$G$3</definedName>
    <definedName name="node" localSheetId="0">node!$A$1:$C$4</definedName>
    <definedName name="node" localSheetId="8">node_E!$A$1:$C$4</definedName>
    <definedName name="node" localSheetId="2">weight!$A$1:$C$4</definedName>
    <definedName name="node" localSheetId="10">weight_E!$A$1:$C$4</definedName>
    <definedName name="node_1" localSheetId="2">weight!$A$1:$C$4</definedName>
    <definedName name="node_1" localSheetId="10">weight_E!$A$1:$C$4</definedName>
    <definedName name="node_exp" localSheetId="5">Лист1!$A$1:$C$4</definedName>
  </definedNames>
  <calcPr calcId="145621"/>
</workbook>
</file>

<file path=xl/calcChain.xml><?xml version="1.0" encoding="utf-8"?>
<calcChain xmlns="http://schemas.openxmlformats.org/spreadsheetml/2006/main">
  <c r="A4" i="5" l="1"/>
  <c r="B4" i="5"/>
  <c r="C4" i="5"/>
  <c r="C5" i="5" s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C123" i="5" s="1"/>
  <c r="C124" i="5" s="1"/>
  <c r="C125" i="5" s="1"/>
  <c r="C126" i="5" s="1"/>
  <c r="C127" i="5" s="1"/>
  <c r="C128" i="5" s="1"/>
  <c r="C129" i="5" s="1"/>
  <c r="C130" i="5" s="1"/>
  <c r="C131" i="5" s="1"/>
  <c r="C132" i="5" s="1"/>
  <c r="C133" i="5" s="1"/>
  <c r="C134" i="5" s="1"/>
  <c r="C135" i="5" s="1"/>
  <c r="C136" i="5" s="1"/>
  <c r="C137" i="5" s="1"/>
  <c r="C138" i="5" s="1"/>
  <c r="C139" i="5" s="1"/>
  <c r="C140" i="5" s="1"/>
  <c r="C141" i="5" s="1"/>
  <c r="C142" i="5" s="1"/>
  <c r="C143" i="5" s="1"/>
  <c r="C144" i="5" s="1"/>
  <c r="C145" i="5" s="1"/>
  <c r="C146" i="5" s="1"/>
  <c r="C147" i="5" s="1"/>
  <c r="C148" i="5" s="1"/>
  <c r="C149" i="5" s="1"/>
  <c r="C150" i="5" s="1"/>
  <c r="C151" i="5" s="1"/>
  <c r="C152" i="5" s="1"/>
  <c r="C153" i="5" s="1"/>
  <c r="C154" i="5" s="1"/>
  <c r="C155" i="5" s="1"/>
  <c r="C156" i="5" s="1"/>
  <c r="C157" i="5" s="1"/>
  <c r="C158" i="5" s="1"/>
  <c r="C159" i="5" s="1"/>
  <c r="C160" i="5" s="1"/>
  <c r="C161" i="5" s="1"/>
  <c r="C162" i="5" s="1"/>
  <c r="C163" i="5" s="1"/>
  <c r="C164" i="5" s="1"/>
  <c r="C165" i="5" s="1"/>
  <c r="C166" i="5" s="1"/>
  <c r="C167" i="5" s="1"/>
  <c r="C168" i="5" s="1"/>
  <c r="C169" i="5" s="1"/>
  <c r="C170" i="5" s="1"/>
  <c r="C171" i="5" s="1"/>
  <c r="C172" i="5" s="1"/>
  <c r="C173" i="5" s="1"/>
  <c r="C174" i="5" s="1"/>
  <c r="C175" i="5" s="1"/>
  <c r="C176" i="5" s="1"/>
  <c r="C177" i="5" s="1"/>
  <c r="C178" i="5" s="1"/>
  <c r="C179" i="5" s="1"/>
  <c r="C180" i="5" s="1"/>
  <c r="C181" i="5" s="1"/>
  <c r="C182" i="5" s="1"/>
  <c r="C183" i="5" s="1"/>
  <c r="C184" i="5" s="1"/>
  <c r="C185" i="5" s="1"/>
  <c r="C186" i="5" s="1"/>
  <c r="C187" i="5" s="1"/>
  <c r="C188" i="5" s="1"/>
  <c r="C189" i="5" s="1"/>
  <c r="C190" i="5" s="1"/>
  <c r="C191" i="5" s="1"/>
  <c r="C192" i="5" s="1"/>
  <c r="C193" i="5" s="1"/>
  <c r="C194" i="5" s="1"/>
  <c r="C195" i="5" s="1"/>
  <c r="C196" i="5" s="1"/>
  <c r="C197" i="5" s="1"/>
  <c r="C198" i="5" s="1"/>
  <c r="C199" i="5" s="1"/>
  <c r="C200" i="5" s="1"/>
  <c r="C201" i="5" s="1"/>
  <c r="C202" i="5" s="1"/>
  <c r="C203" i="5" s="1"/>
  <c r="C204" i="5" s="1"/>
  <c r="C205" i="5" s="1"/>
  <c r="C206" i="5" s="1"/>
  <c r="C207" i="5" s="1"/>
  <c r="C208" i="5" s="1"/>
  <c r="C209" i="5" s="1"/>
  <c r="C210" i="5" s="1"/>
  <c r="C211" i="5" s="1"/>
  <c r="C212" i="5" s="1"/>
  <c r="C213" i="5" s="1"/>
  <c r="C214" i="5" s="1"/>
  <c r="C215" i="5" s="1"/>
  <c r="C216" i="5" s="1"/>
  <c r="C217" i="5" s="1"/>
  <c r="C218" i="5" s="1"/>
  <c r="C219" i="5" s="1"/>
  <c r="C220" i="5" s="1"/>
  <c r="C221" i="5" s="1"/>
  <c r="C222" i="5" s="1"/>
  <c r="C223" i="5" s="1"/>
  <c r="C224" i="5" s="1"/>
  <c r="C225" i="5" s="1"/>
  <c r="C226" i="5" s="1"/>
  <c r="C227" i="5" s="1"/>
  <c r="C228" i="5" s="1"/>
  <c r="C229" i="5" s="1"/>
  <c r="C230" i="5" s="1"/>
  <c r="C231" i="5" s="1"/>
  <c r="C232" i="5" s="1"/>
  <c r="C233" i="5" s="1"/>
  <c r="C234" i="5" s="1"/>
  <c r="C235" i="5" s="1"/>
  <c r="C236" i="5" s="1"/>
  <c r="C237" i="5" s="1"/>
  <c r="C238" i="5" s="1"/>
  <c r="C239" i="5" s="1"/>
  <c r="C240" i="5" s="1"/>
  <c r="C241" i="5" s="1"/>
  <c r="C242" i="5" s="1"/>
  <c r="C243" i="5" s="1"/>
  <c r="C244" i="5" s="1"/>
  <c r="C245" i="5" s="1"/>
  <c r="C246" i="5" s="1"/>
  <c r="C247" i="5" s="1"/>
  <c r="C248" i="5" s="1"/>
  <c r="C249" i="5" s="1"/>
  <c r="C250" i="5" s="1"/>
  <c r="C251" i="5" s="1"/>
  <c r="C252" i="5" s="1"/>
  <c r="C253" i="5" s="1"/>
  <c r="C254" i="5" s="1"/>
  <c r="C255" i="5" s="1"/>
  <c r="C256" i="5" s="1"/>
  <c r="C257" i="5" s="1"/>
  <c r="C258" i="5" s="1"/>
  <c r="C259" i="5" s="1"/>
  <c r="C260" i="5" s="1"/>
  <c r="C261" i="5" s="1"/>
  <c r="C262" i="5" s="1"/>
  <c r="C263" i="5" s="1"/>
  <c r="C264" i="5" s="1"/>
  <c r="C265" i="5" s="1"/>
  <c r="C266" i="5" s="1"/>
  <c r="C267" i="5" s="1"/>
  <c r="C268" i="5" s="1"/>
  <c r="C269" i="5" s="1"/>
  <c r="C270" i="5" s="1"/>
  <c r="C271" i="5" s="1"/>
  <c r="C272" i="5" s="1"/>
  <c r="C273" i="5" s="1"/>
  <c r="C274" i="5" s="1"/>
  <c r="C275" i="5" s="1"/>
  <c r="C276" i="5" s="1"/>
  <c r="C277" i="5" s="1"/>
  <c r="C278" i="5" s="1"/>
  <c r="C279" i="5" s="1"/>
  <c r="C280" i="5" s="1"/>
  <c r="C281" i="5" s="1"/>
  <c r="C282" i="5" s="1"/>
  <c r="C283" i="5" s="1"/>
  <c r="C284" i="5" s="1"/>
  <c r="C285" i="5" s="1"/>
  <c r="C286" i="5" s="1"/>
  <c r="C287" i="5" s="1"/>
  <c r="C288" i="5" s="1"/>
  <c r="C289" i="5" s="1"/>
  <c r="C290" i="5" s="1"/>
  <c r="C291" i="5" s="1"/>
  <c r="C292" i="5" s="1"/>
  <c r="C293" i="5" s="1"/>
  <c r="C294" i="5" s="1"/>
  <c r="C295" i="5" s="1"/>
  <c r="C296" i="5" s="1"/>
  <c r="C297" i="5" s="1"/>
  <c r="C298" i="5" s="1"/>
  <c r="C299" i="5" s="1"/>
  <c r="C300" i="5" s="1"/>
  <c r="C301" i="5" s="1"/>
  <c r="C302" i="5" s="1"/>
  <c r="C303" i="5" s="1"/>
  <c r="C304" i="5" s="1"/>
  <c r="C305" i="5" s="1"/>
  <c r="D4" i="5"/>
  <c r="G4" i="5"/>
  <c r="A5" i="5"/>
  <c r="B5" i="5"/>
  <c r="D5" i="5"/>
  <c r="G5" i="5"/>
  <c r="A6" i="5"/>
  <c r="B6" i="5"/>
  <c r="D6" i="5"/>
  <c r="D7" i="5" s="1"/>
  <c r="D8" i="5" s="1"/>
  <c r="D9" i="5" s="1"/>
  <c r="D10" i="5" s="1"/>
  <c r="D11" i="5" s="1"/>
  <c r="D12" i="5" s="1"/>
  <c r="D13" i="5" s="1"/>
  <c r="D14" i="5" s="1"/>
  <c r="D15" i="5" s="1"/>
  <c r="D16" i="5" s="1"/>
  <c r="D17" i="5" s="1"/>
  <c r="D18" i="5" s="1"/>
  <c r="D19" i="5" s="1"/>
  <c r="D20" i="5" s="1"/>
  <c r="D21" i="5" s="1"/>
  <c r="D22" i="5" s="1"/>
  <c r="D23" i="5" s="1"/>
  <c r="D24" i="5" s="1"/>
  <c r="D25" i="5" s="1"/>
  <c r="D26" i="5" s="1"/>
  <c r="D27" i="5" s="1"/>
  <c r="D28" i="5" s="1"/>
  <c r="D29" i="5" s="1"/>
  <c r="D30" i="5" s="1"/>
  <c r="D31" i="5" s="1"/>
  <c r="D32" i="5" s="1"/>
  <c r="D33" i="5" s="1"/>
  <c r="D34" i="5" s="1"/>
  <c r="D35" i="5" s="1"/>
  <c r="D36" i="5" s="1"/>
  <c r="D37" i="5" s="1"/>
  <c r="D38" i="5" s="1"/>
  <c r="D39" i="5" s="1"/>
  <c r="D40" i="5" s="1"/>
  <c r="D41" i="5" s="1"/>
  <c r="D42" i="5" s="1"/>
  <c r="D43" i="5" s="1"/>
  <c r="D44" i="5" s="1"/>
  <c r="D45" i="5" s="1"/>
  <c r="D46" i="5" s="1"/>
  <c r="D47" i="5" s="1"/>
  <c r="D48" i="5" s="1"/>
  <c r="D49" i="5" s="1"/>
  <c r="D50" i="5" s="1"/>
  <c r="D51" i="5" s="1"/>
  <c r="D52" i="5" s="1"/>
  <c r="D53" i="5" s="1"/>
  <c r="D54" i="5" s="1"/>
  <c r="D55" i="5" s="1"/>
  <c r="D56" i="5" s="1"/>
  <c r="D57" i="5" s="1"/>
  <c r="D58" i="5" s="1"/>
  <c r="D59" i="5" s="1"/>
  <c r="D60" i="5" s="1"/>
  <c r="D61" i="5" s="1"/>
  <c r="D62" i="5" s="1"/>
  <c r="D63" i="5" s="1"/>
  <c r="D64" i="5" s="1"/>
  <c r="D65" i="5" s="1"/>
  <c r="D66" i="5" s="1"/>
  <c r="D67" i="5" s="1"/>
  <c r="D68" i="5" s="1"/>
  <c r="D69" i="5" s="1"/>
  <c r="D70" i="5" s="1"/>
  <c r="D71" i="5" s="1"/>
  <c r="D72" i="5" s="1"/>
  <c r="D73" i="5" s="1"/>
  <c r="D74" i="5" s="1"/>
  <c r="D75" i="5" s="1"/>
  <c r="D76" i="5" s="1"/>
  <c r="D77" i="5" s="1"/>
  <c r="D78" i="5" s="1"/>
  <c r="D79" i="5" s="1"/>
  <c r="D80" i="5" s="1"/>
  <c r="D81" i="5" s="1"/>
  <c r="D82" i="5" s="1"/>
  <c r="D83" i="5" s="1"/>
  <c r="D84" i="5" s="1"/>
  <c r="D85" i="5" s="1"/>
  <c r="D86" i="5" s="1"/>
  <c r="D87" i="5" s="1"/>
  <c r="D88" i="5" s="1"/>
  <c r="D89" i="5" s="1"/>
  <c r="D90" i="5" s="1"/>
  <c r="D91" i="5" s="1"/>
  <c r="D92" i="5" s="1"/>
  <c r="D93" i="5" s="1"/>
  <c r="D94" i="5" s="1"/>
  <c r="D95" i="5" s="1"/>
  <c r="D96" i="5" s="1"/>
  <c r="D97" i="5" s="1"/>
  <c r="D98" i="5" s="1"/>
  <c r="D99" i="5" s="1"/>
  <c r="D100" i="5" s="1"/>
  <c r="D101" i="5" s="1"/>
  <c r="D102" i="5" s="1"/>
  <c r="D103" i="5" s="1"/>
  <c r="D104" i="5" s="1"/>
  <c r="D105" i="5" s="1"/>
  <c r="D106" i="5" s="1"/>
  <c r="D107" i="5" s="1"/>
  <c r="D108" i="5" s="1"/>
  <c r="D109" i="5" s="1"/>
  <c r="D110" i="5" s="1"/>
  <c r="D111" i="5" s="1"/>
  <c r="D112" i="5" s="1"/>
  <c r="D113" i="5" s="1"/>
  <c r="D114" i="5" s="1"/>
  <c r="D115" i="5" s="1"/>
  <c r="D116" i="5" s="1"/>
  <c r="D117" i="5" s="1"/>
  <c r="D118" i="5" s="1"/>
  <c r="D119" i="5" s="1"/>
  <c r="D120" i="5" s="1"/>
  <c r="D121" i="5" s="1"/>
  <c r="D122" i="5" s="1"/>
  <c r="D123" i="5" s="1"/>
  <c r="D124" i="5" s="1"/>
  <c r="D125" i="5" s="1"/>
  <c r="D126" i="5" s="1"/>
  <c r="D127" i="5" s="1"/>
  <c r="D128" i="5" s="1"/>
  <c r="D129" i="5" s="1"/>
  <c r="D130" i="5" s="1"/>
  <c r="D131" i="5" s="1"/>
  <c r="D132" i="5" s="1"/>
  <c r="D133" i="5" s="1"/>
  <c r="D134" i="5" s="1"/>
  <c r="D135" i="5" s="1"/>
  <c r="D136" i="5" s="1"/>
  <c r="D137" i="5" s="1"/>
  <c r="D138" i="5" s="1"/>
  <c r="D139" i="5" s="1"/>
  <c r="D140" i="5" s="1"/>
  <c r="D141" i="5" s="1"/>
  <c r="D142" i="5" s="1"/>
  <c r="D143" i="5" s="1"/>
  <c r="D144" i="5" s="1"/>
  <c r="D145" i="5" s="1"/>
  <c r="D146" i="5" s="1"/>
  <c r="D147" i="5" s="1"/>
  <c r="D148" i="5" s="1"/>
  <c r="D149" i="5" s="1"/>
  <c r="D150" i="5" s="1"/>
  <c r="D151" i="5" s="1"/>
  <c r="D152" i="5" s="1"/>
  <c r="D153" i="5" s="1"/>
  <c r="D154" i="5" s="1"/>
  <c r="D155" i="5" s="1"/>
  <c r="D156" i="5" s="1"/>
  <c r="D157" i="5" s="1"/>
  <c r="D158" i="5" s="1"/>
  <c r="D159" i="5" s="1"/>
  <c r="D160" i="5" s="1"/>
  <c r="D161" i="5" s="1"/>
  <c r="D162" i="5" s="1"/>
  <c r="D163" i="5" s="1"/>
  <c r="D164" i="5" s="1"/>
  <c r="D165" i="5" s="1"/>
  <c r="D166" i="5" s="1"/>
  <c r="D167" i="5" s="1"/>
  <c r="D168" i="5" s="1"/>
  <c r="D169" i="5" s="1"/>
  <c r="D170" i="5" s="1"/>
  <c r="D171" i="5" s="1"/>
  <c r="D172" i="5" s="1"/>
  <c r="D173" i="5" s="1"/>
  <c r="G6" i="5"/>
  <c r="A7" i="5"/>
  <c r="B7" i="5"/>
  <c r="G7" i="5"/>
  <c r="A8" i="5"/>
  <c r="B8" i="5"/>
  <c r="G8" i="5"/>
  <c r="A9" i="5"/>
  <c r="B9" i="5"/>
  <c r="G9" i="5"/>
  <c r="A10" i="5"/>
  <c r="B10" i="5"/>
  <c r="G10" i="5"/>
  <c r="A11" i="5"/>
  <c r="B11" i="5"/>
  <c r="G11" i="5"/>
  <c r="A12" i="5"/>
  <c r="B12" i="5"/>
  <c r="G12" i="5"/>
  <c r="A13" i="5"/>
  <c r="B13" i="5"/>
  <c r="G13" i="5"/>
  <c r="A14" i="5"/>
  <c r="B14" i="5"/>
  <c r="G14" i="5"/>
  <c r="A15" i="5"/>
  <c r="B15" i="5"/>
  <c r="G15" i="5"/>
  <c r="A16" i="5"/>
  <c r="B16" i="5"/>
  <c r="G16" i="5"/>
  <c r="A17" i="5"/>
  <c r="B17" i="5"/>
  <c r="G17" i="5"/>
  <c r="A18" i="5"/>
  <c r="B18" i="5"/>
  <c r="G18" i="5"/>
  <c r="A19" i="5"/>
  <c r="B19" i="5"/>
  <c r="G19" i="5"/>
  <c r="A20" i="5"/>
  <c r="B20" i="5"/>
  <c r="G20" i="5"/>
  <c r="A21" i="5"/>
  <c r="B21" i="5"/>
  <c r="G21" i="5"/>
  <c r="A22" i="5"/>
  <c r="B22" i="5"/>
  <c r="G22" i="5"/>
  <c r="A23" i="5"/>
  <c r="B23" i="5"/>
  <c r="G23" i="5"/>
  <c r="A24" i="5"/>
  <c r="B24" i="5"/>
  <c r="G24" i="5"/>
  <c r="A25" i="5"/>
  <c r="B25" i="5"/>
  <c r="G25" i="5"/>
  <c r="A26" i="5"/>
  <c r="B26" i="5"/>
  <c r="G26" i="5"/>
  <c r="A27" i="5"/>
  <c r="B27" i="5"/>
  <c r="G27" i="5"/>
  <c r="A28" i="5"/>
  <c r="B28" i="5"/>
  <c r="G28" i="5"/>
  <c r="A29" i="5"/>
  <c r="B29" i="5"/>
  <c r="G29" i="5"/>
  <c r="A30" i="5"/>
  <c r="B30" i="5"/>
  <c r="G30" i="5"/>
  <c r="A31" i="5"/>
  <c r="B31" i="5"/>
  <c r="G31" i="5"/>
  <c r="A32" i="5"/>
  <c r="B32" i="5"/>
  <c r="G32" i="5"/>
  <c r="A33" i="5"/>
  <c r="B33" i="5"/>
  <c r="G33" i="5"/>
  <c r="A34" i="5"/>
  <c r="B34" i="5"/>
  <c r="G34" i="5"/>
  <c r="A35" i="5"/>
  <c r="B35" i="5"/>
  <c r="G35" i="5"/>
  <c r="A36" i="5"/>
  <c r="B36" i="5"/>
  <c r="G36" i="5"/>
  <c r="A37" i="5"/>
  <c r="B37" i="5"/>
  <c r="G37" i="5"/>
  <c r="A38" i="5"/>
  <c r="B38" i="5"/>
  <c r="G38" i="5"/>
  <c r="A39" i="5"/>
  <c r="B39" i="5"/>
  <c r="G39" i="5"/>
  <c r="A40" i="5"/>
  <c r="B40" i="5"/>
  <c r="G40" i="5"/>
  <c r="A41" i="5"/>
  <c r="B41" i="5"/>
  <c r="G41" i="5"/>
  <c r="A42" i="5"/>
  <c r="B42" i="5"/>
  <c r="G42" i="5"/>
  <c r="A43" i="5"/>
  <c r="B43" i="5"/>
  <c r="G43" i="5"/>
  <c r="A44" i="5"/>
  <c r="B44" i="5"/>
  <c r="G44" i="5"/>
  <c r="A45" i="5"/>
  <c r="B45" i="5"/>
  <c r="G45" i="5"/>
  <c r="A46" i="5"/>
  <c r="B46" i="5"/>
  <c r="G46" i="5"/>
  <c r="A47" i="5"/>
  <c r="B47" i="5"/>
  <c r="G47" i="5"/>
  <c r="A48" i="5"/>
  <c r="B48" i="5"/>
  <c r="G48" i="5"/>
  <c r="A49" i="5"/>
  <c r="B49" i="5"/>
  <c r="G49" i="5"/>
  <c r="A50" i="5"/>
  <c r="B50" i="5"/>
  <c r="G50" i="5"/>
  <c r="A51" i="5"/>
  <c r="B51" i="5"/>
  <c r="G51" i="5"/>
  <c r="A52" i="5"/>
  <c r="B52" i="5"/>
  <c r="G52" i="5"/>
  <c r="A53" i="5"/>
  <c r="B53" i="5"/>
  <c r="G53" i="5"/>
  <c r="A54" i="5"/>
  <c r="B54" i="5"/>
  <c r="G54" i="5"/>
  <c r="A55" i="5"/>
  <c r="B55" i="5"/>
  <c r="G55" i="5"/>
  <c r="A56" i="5"/>
  <c r="B56" i="5"/>
  <c r="G56" i="5"/>
  <c r="A57" i="5"/>
  <c r="B57" i="5"/>
  <c r="G57" i="5"/>
  <c r="A58" i="5"/>
  <c r="B58" i="5"/>
  <c r="G58" i="5"/>
  <c r="A59" i="5"/>
  <c r="B59" i="5"/>
  <c r="G59" i="5"/>
  <c r="A60" i="5"/>
  <c r="B60" i="5"/>
  <c r="G60" i="5"/>
  <c r="A61" i="5"/>
  <c r="B61" i="5"/>
  <c r="G61" i="5"/>
  <c r="A62" i="5"/>
  <c r="B62" i="5"/>
  <c r="G62" i="5"/>
  <c r="A63" i="5"/>
  <c r="B63" i="5"/>
  <c r="G63" i="5"/>
  <c r="A64" i="5"/>
  <c r="B64" i="5"/>
  <c r="G64" i="5"/>
  <c r="A65" i="5"/>
  <c r="B65" i="5"/>
  <c r="G65" i="5"/>
  <c r="A66" i="5"/>
  <c r="B66" i="5"/>
  <c r="G66" i="5"/>
  <c r="A67" i="5"/>
  <c r="B67" i="5"/>
  <c r="G67" i="5"/>
  <c r="A68" i="5"/>
  <c r="B68" i="5"/>
  <c r="G68" i="5"/>
  <c r="A69" i="5"/>
  <c r="B69" i="5"/>
  <c r="G69" i="5"/>
  <c r="A70" i="5"/>
  <c r="B70" i="5"/>
  <c r="G70" i="5"/>
  <c r="A71" i="5"/>
  <c r="B71" i="5"/>
  <c r="G71" i="5"/>
  <c r="A72" i="5"/>
  <c r="B72" i="5"/>
  <c r="G72" i="5"/>
  <c r="A73" i="5"/>
  <c r="B73" i="5"/>
  <c r="G73" i="5"/>
  <c r="A74" i="5"/>
  <c r="B74" i="5"/>
  <c r="G74" i="5"/>
  <c r="A75" i="5"/>
  <c r="B75" i="5"/>
  <c r="G75" i="5"/>
  <c r="A76" i="5"/>
  <c r="B76" i="5"/>
  <c r="G76" i="5"/>
  <c r="A77" i="5"/>
  <c r="B77" i="5"/>
  <c r="G77" i="5"/>
  <c r="A78" i="5"/>
  <c r="B78" i="5"/>
  <c r="G78" i="5"/>
  <c r="A79" i="5"/>
  <c r="B79" i="5"/>
  <c r="G79" i="5"/>
  <c r="A80" i="5"/>
  <c r="B80" i="5"/>
  <c r="G80" i="5"/>
  <c r="A81" i="5"/>
  <c r="B81" i="5"/>
  <c r="G81" i="5"/>
  <c r="A82" i="5"/>
  <c r="B82" i="5"/>
  <c r="G82" i="5"/>
  <c r="A83" i="5"/>
  <c r="B83" i="5"/>
  <c r="G83" i="5"/>
  <c r="A84" i="5"/>
  <c r="B84" i="5"/>
  <c r="G84" i="5"/>
  <c r="A85" i="5"/>
  <c r="B85" i="5"/>
  <c r="G85" i="5"/>
  <c r="A86" i="5"/>
  <c r="B86" i="5"/>
  <c r="G86" i="5"/>
  <c r="A87" i="5"/>
  <c r="B87" i="5"/>
  <c r="G87" i="5"/>
  <c r="A88" i="5"/>
  <c r="B88" i="5"/>
  <c r="G88" i="5"/>
  <c r="A89" i="5"/>
  <c r="B89" i="5"/>
  <c r="G89" i="5"/>
  <c r="A90" i="5"/>
  <c r="B90" i="5"/>
  <c r="G90" i="5"/>
  <c r="A91" i="5"/>
  <c r="B91" i="5"/>
  <c r="G91" i="5"/>
  <c r="A92" i="5"/>
  <c r="B92" i="5"/>
  <c r="G92" i="5"/>
  <c r="A93" i="5"/>
  <c r="B93" i="5"/>
  <c r="G93" i="5"/>
  <c r="A94" i="5"/>
  <c r="B94" i="5"/>
  <c r="G94" i="5"/>
  <c r="A95" i="5"/>
  <c r="B95" i="5"/>
  <c r="G95" i="5"/>
  <c r="A96" i="5"/>
  <c r="B96" i="5"/>
  <c r="G96" i="5"/>
  <c r="A97" i="5"/>
  <c r="B97" i="5"/>
  <c r="G97" i="5"/>
  <c r="A98" i="5"/>
  <c r="B98" i="5"/>
  <c r="G98" i="5"/>
  <c r="A99" i="5"/>
  <c r="B99" i="5"/>
  <c r="G99" i="5"/>
  <c r="A100" i="5"/>
  <c r="B100" i="5"/>
  <c r="G100" i="5"/>
  <c r="A101" i="5"/>
  <c r="B101" i="5"/>
  <c r="G101" i="5"/>
  <c r="A102" i="5"/>
  <c r="B102" i="5"/>
  <c r="G102" i="5"/>
  <c r="A103" i="5"/>
  <c r="B103" i="5"/>
  <c r="G103" i="5"/>
  <c r="A104" i="5"/>
  <c r="B104" i="5"/>
  <c r="G104" i="5"/>
  <c r="A105" i="5"/>
  <c r="B105" i="5"/>
  <c r="G105" i="5"/>
  <c r="A106" i="5"/>
  <c r="B106" i="5"/>
  <c r="G106" i="5"/>
  <c r="A107" i="5"/>
  <c r="B107" i="5"/>
  <c r="G107" i="5"/>
  <c r="A108" i="5"/>
  <c r="B108" i="5"/>
  <c r="G108" i="5"/>
  <c r="A109" i="5"/>
  <c r="B109" i="5"/>
  <c r="G109" i="5"/>
  <c r="A110" i="5"/>
  <c r="B110" i="5"/>
  <c r="G110" i="5"/>
  <c r="A111" i="5"/>
  <c r="B111" i="5"/>
  <c r="G111" i="5"/>
  <c r="A112" i="5"/>
  <c r="B112" i="5"/>
  <c r="G112" i="5"/>
  <c r="A113" i="5"/>
  <c r="B113" i="5"/>
  <c r="G113" i="5"/>
  <c r="A114" i="5"/>
  <c r="B114" i="5"/>
  <c r="G114" i="5"/>
  <c r="A115" i="5"/>
  <c r="B115" i="5"/>
  <c r="G115" i="5"/>
  <c r="A116" i="5"/>
  <c r="B116" i="5"/>
  <c r="G116" i="5"/>
  <c r="A117" i="5"/>
  <c r="B117" i="5"/>
  <c r="G117" i="5"/>
  <c r="A118" i="5"/>
  <c r="B118" i="5"/>
  <c r="G118" i="5"/>
  <c r="A119" i="5"/>
  <c r="B119" i="5"/>
  <c r="G119" i="5"/>
  <c r="A120" i="5"/>
  <c r="B120" i="5"/>
  <c r="G120" i="5"/>
  <c r="A121" i="5"/>
  <c r="B121" i="5"/>
  <c r="G121" i="5"/>
  <c r="A122" i="5"/>
  <c r="B122" i="5"/>
  <c r="G122" i="5"/>
  <c r="A123" i="5"/>
  <c r="B123" i="5"/>
  <c r="G123" i="5"/>
  <c r="A124" i="5"/>
  <c r="B124" i="5"/>
  <c r="G124" i="5"/>
  <c r="A125" i="5"/>
  <c r="B125" i="5"/>
  <c r="G125" i="5"/>
  <c r="A126" i="5"/>
  <c r="B126" i="5"/>
  <c r="G126" i="5"/>
  <c r="A127" i="5"/>
  <c r="B127" i="5"/>
  <c r="G127" i="5"/>
  <c r="A128" i="5"/>
  <c r="B128" i="5"/>
  <c r="G128" i="5"/>
  <c r="A129" i="5"/>
  <c r="B129" i="5"/>
  <c r="G129" i="5"/>
  <c r="A130" i="5"/>
  <c r="B130" i="5"/>
  <c r="G130" i="5"/>
  <c r="A131" i="5"/>
  <c r="B131" i="5"/>
  <c r="G131" i="5"/>
  <c r="A132" i="5"/>
  <c r="B132" i="5"/>
  <c r="G132" i="5"/>
  <c r="A133" i="5"/>
  <c r="B133" i="5"/>
  <c r="G133" i="5"/>
  <c r="A134" i="5"/>
  <c r="B134" i="5"/>
  <c r="G134" i="5"/>
  <c r="A135" i="5"/>
  <c r="B135" i="5"/>
  <c r="G135" i="5"/>
  <c r="A136" i="5"/>
  <c r="B136" i="5"/>
  <c r="G136" i="5"/>
  <c r="A137" i="5"/>
  <c r="B137" i="5"/>
  <c r="G137" i="5"/>
  <c r="A138" i="5"/>
  <c r="B138" i="5"/>
  <c r="G138" i="5"/>
  <c r="A139" i="5"/>
  <c r="B139" i="5"/>
  <c r="G139" i="5"/>
  <c r="A140" i="5"/>
  <c r="B140" i="5"/>
  <c r="G140" i="5"/>
  <c r="A141" i="5"/>
  <c r="B141" i="5"/>
  <c r="G141" i="5"/>
  <c r="A142" i="5"/>
  <c r="B142" i="5"/>
  <c r="G142" i="5"/>
  <c r="A143" i="5"/>
  <c r="B143" i="5"/>
  <c r="G143" i="5"/>
  <c r="A144" i="5"/>
  <c r="B144" i="5"/>
  <c r="G144" i="5"/>
  <c r="A145" i="5"/>
  <c r="B145" i="5"/>
  <c r="G145" i="5"/>
  <c r="A146" i="5"/>
  <c r="B146" i="5"/>
  <c r="G146" i="5"/>
  <c r="A147" i="5"/>
  <c r="B147" i="5"/>
  <c r="G147" i="5"/>
  <c r="A148" i="5"/>
  <c r="B148" i="5"/>
  <c r="G148" i="5"/>
  <c r="A149" i="5"/>
  <c r="B149" i="5"/>
  <c r="G149" i="5"/>
  <c r="A150" i="5"/>
  <c r="B150" i="5"/>
  <c r="G150" i="5"/>
  <c r="A151" i="5"/>
  <c r="B151" i="5"/>
  <c r="G151" i="5"/>
  <c r="A152" i="5"/>
  <c r="B152" i="5"/>
  <c r="G152" i="5"/>
  <c r="A153" i="5"/>
  <c r="B153" i="5"/>
  <c r="G153" i="5"/>
  <c r="A154" i="5"/>
  <c r="B154" i="5"/>
  <c r="G154" i="5"/>
  <c r="A155" i="5"/>
  <c r="B155" i="5"/>
  <c r="G155" i="5"/>
  <c r="A156" i="5"/>
  <c r="B156" i="5"/>
  <c r="G156" i="5"/>
  <c r="A157" i="5"/>
  <c r="B157" i="5"/>
  <c r="G157" i="5"/>
  <c r="A158" i="5"/>
  <c r="B158" i="5"/>
  <c r="G158" i="5"/>
  <c r="A159" i="5"/>
  <c r="B159" i="5"/>
  <c r="G159" i="5"/>
  <c r="A160" i="5"/>
  <c r="B160" i="5"/>
  <c r="G160" i="5"/>
  <c r="A161" i="5"/>
  <c r="B161" i="5"/>
  <c r="G161" i="5"/>
  <c r="A162" i="5"/>
  <c r="B162" i="5"/>
  <c r="G162" i="5"/>
  <c r="A163" i="5"/>
  <c r="B163" i="5"/>
  <c r="G163" i="5"/>
  <c r="A164" i="5"/>
  <c r="B164" i="5"/>
  <c r="G164" i="5"/>
  <c r="A165" i="5"/>
  <c r="B165" i="5"/>
  <c r="G165" i="5"/>
  <c r="A166" i="5"/>
  <c r="B166" i="5"/>
  <c r="G166" i="5"/>
  <c r="A167" i="5"/>
  <c r="B167" i="5"/>
  <c r="G167" i="5"/>
  <c r="A168" i="5"/>
  <c r="B168" i="5"/>
  <c r="G168" i="5"/>
  <c r="A169" i="5"/>
  <c r="B169" i="5"/>
  <c r="G169" i="5"/>
  <c r="A170" i="5"/>
  <c r="B170" i="5"/>
  <c r="G170" i="5"/>
  <c r="A171" i="5"/>
  <c r="B171" i="5"/>
  <c r="G171" i="5"/>
  <c r="A172" i="5"/>
  <c r="B172" i="5"/>
  <c r="G172" i="5"/>
  <c r="A173" i="5"/>
  <c r="B173" i="5"/>
  <c r="G173" i="5"/>
  <c r="A174" i="5"/>
  <c r="B174" i="5"/>
  <c r="D174" i="5"/>
  <c r="G174" i="5"/>
  <c r="A175" i="5"/>
  <c r="B175" i="5"/>
  <c r="D175" i="5"/>
  <c r="D176" i="5" s="1"/>
  <c r="D177" i="5" s="1"/>
  <c r="D178" i="5" s="1"/>
  <c r="D179" i="5" s="1"/>
  <c r="D180" i="5" s="1"/>
  <c r="D181" i="5" s="1"/>
  <c r="D182" i="5" s="1"/>
  <c r="D183" i="5" s="1"/>
  <c r="D184" i="5" s="1"/>
  <c r="D185" i="5" s="1"/>
  <c r="D186" i="5" s="1"/>
  <c r="D187" i="5" s="1"/>
  <c r="D188" i="5" s="1"/>
  <c r="D189" i="5" s="1"/>
  <c r="D190" i="5" s="1"/>
  <c r="D191" i="5" s="1"/>
  <c r="D192" i="5" s="1"/>
  <c r="D193" i="5" s="1"/>
  <c r="D194" i="5" s="1"/>
  <c r="D195" i="5" s="1"/>
  <c r="D196" i="5" s="1"/>
  <c r="D197" i="5" s="1"/>
  <c r="D198" i="5" s="1"/>
  <c r="D199" i="5" s="1"/>
  <c r="D200" i="5" s="1"/>
  <c r="D201" i="5" s="1"/>
  <c r="D202" i="5" s="1"/>
  <c r="D203" i="5" s="1"/>
  <c r="D204" i="5" s="1"/>
  <c r="D205" i="5" s="1"/>
  <c r="D206" i="5" s="1"/>
  <c r="D207" i="5" s="1"/>
  <c r="D208" i="5" s="1"/>
  <c r="D209" i="5" s="1"/>
  <c r="D210" i="5" s="1"/>
  <c r="D211" i="5" s="1"/>
  <c r="D212" i="5" s="1"/>
  <c r="D213" i="5" s="1"/>
  <c r="D214" i="5" s="1"/>
  <c r="D215" i="5" s="1"/>
  <c r="D216" i="5" s="1"/>
  <c r="D217" i="5" s="1"/>
  <c r="D218" i="5" s="1"/>
  <c r="D219" i="5" s="1"/>
  <c r="D220" i="5" s="1"/>
  <c r="D221" i="5" s="1"/>
  <c r="D222" i="5" s="1"/>
  <c r="D223" i="5" s="1"/>
  <c r="D224" i="5" s="1"/>
  <c r="D225" i="5" s="1"/>
  <c r="D226" i="5" s="1"/>
  <c r="D227" i="5" s="1"/>
  <c r="D228" i="5" s="1"/>
  <c r="D229" i="5" s="1"/>
  <c r="D230" i="5" s="1"/>
  <c r="D231" i="5" s="1"/>
  <c r="D232" i="5" s="1"/>
  <c r="D233" i="5" s="1"/>
  <c r="D234" i="5" s="1"/>
  <c r="D235" i="5" s="1"/>
  <c r="D236" i="5" s="1"/>
  <c r="D237" i="5" s="1"/>
  <c r="D238" i="5" s="1"/>
  <c r="D239" i="5" s="1"/>
  <c r="D240" i="5" s="1"/>
  <c r="D241" i="5" s="1"/>
  <c r="D242" i="5" s="1"/>
  <c r="D243" i="5" s="1"/>
  <c r="D244" i="5" s="1"/>
  <c r="D245" i="5" s="1"/>
  <c r="D246" i="5" s="1"/>
  <c r="D247" i="5" s="1"/>
  <c r="D248" i="5" s="1"/>
  <c r="D249" i="5" s="1"/>
  <c r="D250" i="5" s="1"/>
  <c r="D251" i="5" s="1"/>
  <c r="D252" i="5" s="1"/>
  <c r="D253" i="5" s="1"/>
  <c r="D254" i="5" s="1"/>
  <c r="D255" i="5" s="1"/>
  <c r="D256" i="5" s="1"/>
  <c r="D257" i="5" s="1"/>
  <c r="D258" i="5" s="1"/>
  <c r="D259" i="5" s="1"/>
  <c r="D260" i="5" s="1"/>
  <c r="D261" i="5" s="1"/>
  <c r="D262" i="5" s="1"/>
  <c r="D263" i="5" s="1"/>
  <c r="D264" i="5" s="1"/>
  <c r="D265" i="5" s="1"/>
  <c r="D266" i="5" s="1"/>
  <c r="D267" i="5" s="1"/>
  <c r="D268" i="5" s="1"/>
  <c r="D269" i="5" s="1"/>
  <c r="D270" i="5" s="1"/>
  <c r="D271" i="5" s="1"/>
  <c r="D272" i="5" s="1"/>
  <c r="D273" i="5" s="1"/>
  <c r="D274" i="5" s="1"/>
  <c r="D275" i="5" s="1"/>
  <c r="D276" i="5" s="1"/>
  <c r="D277" i="5" s="1"/>
  <c r="D278" i="5" s="1"/>
  <c r="D279" i="5" s="1"/>
  <c r="D280" i="5" s="1"/>
  <c r="D281" i="5" s="1"/>
  <c r="D282" i="5" s="1"/>
  <c r="D283" i="5" s="1"/>
  <c r="D284" i="5" s="1"/>
  <c r="D285" i="5" s="1"/>
  <c r="D286" i="5" s="1"/>
  <c r="D287" i="5" s="1"/>
  <c r="D288" i="5" s="1"/>
  <c r="D289" i="5" s="1"/>
  <c r="D290" i="5" s="1"/>
  <c r="D291" i="5" s="1"/>
  <c r="D292" i="5" s="1"/>
  <c r="D293" i="5" s="1"/>
  <c r="D294" i="5" s="1"/>
  <c r="D295" i="5" s="1"/>
  <c r="D296" i="5" s="1"/>
  <c r="D297" i="5" s="1"/>
  <c r="D298" i="5" s="1"/>
  <c r="D299" i="5" s="1"/>
  <c r="D300" i="5" s="1"/>
  <c r="D301" i="5" s="1"/>
  <c r="D302" i="5" s="1"/>
  <c r="D303" i="5" s="1"/>
  <c r="D304" i="5" s="1"/>
  <c r="D305" i="5" s="1"/>
  <c r="G175" i="5"/>
  <c r="A176" i="5"/>
  <c r="B176" i="5"/>
  <c r="G176" i="5"/>
  <c r="A177" i="5"/>
  <c r="B177" i="5"/>
  <c r="G177" i="5"/>
  <c r="A178" i="5"/>
  <c r="B178" i="5"/>
  <c r="G178" i="5"/>
  <c r="A179" i="5"/>
  <c r="B179" i="5"/>
  <c r="G179" i="5"/>
  <c r="A180" i="5"/>
  <c r="B180" i="5"/>
  <c r="G180" i="5"/>
  <c r="A181" i="5"/>
  <c r="B181" i="5"/>
  <c r="G181" i="5"/>
  <c r="A182" i="5"/>
  <c r="B182" i="5"/>
  <c r="G182" i="5"/>
  <c r="A183" i="5"/>
  <c r="B183" i="5"/>
  <c r="G183" i="5"/>
  <c r="A184" i="5"/>
  <c r="B184" i="5"/>
  <c r="G184" i="5"/>
  <c r="A185" i="5"/>
  <c r="B185" i="5"/>
  <c r="G185" i="5"/>
  <c r="A186" i="5"/>
  <c r="B186" i="5"/>
  <c r="G186" i="5"/>
  <c r="A187" i="5"/>
  <c r="B187" i="5"/>
  <c r="G187" i="5"/>
  <c r="A188" i="5"/>
  <c r="B188" i="5"/>
  <c r="G188" i="5"/>
  <c r="A189" i="5"/>
  <c r="B189" i="5"/>
  <c r="G189" i="5"/>
  <c r="A190" i="5"/>
  <c r="B190" i="5"/>
  <c r="G190" i="5"/>
  <c r="A191" i="5"/>
  <c r="B191" i="5"/>
  <c r="G191" i="5"/>
  <c r="A192" i="5"/>
  <c r="B192" i="5"/>
  <c r="G192" i="5"/>
  <c r="A193" i="5"/>
  <c r="B193" i="5"/>
  <c r="G193" i="5"/>
  <c r="A194" i="5"/>
  <c r="B194" i="5"/>
  <c r="G194" i="5"/>
  <c r="A195" i="5"/>
  <c r="B195" i="5"/>
  <c r="G195" i="5"/>
  <c r="A196" i="5"/>
  <c r="B196" i="5"/>
  <c r="G196" i="5"/>
  <c r="A197" i="5"/>
  <c r="B197" i="5"/>
  <c r="G197" i="5"/>
  <c r="A198" i="5"/>
  <c r="B198" i="5"/>
  <c r="G198" i="5"/>
  <c r="A199" i="5"/>
  <c r="B199" i="5"/>
  <c r="G199" i="5"/>
  <c r="A200" i="5"/>
  <c r="B200" i="5"/>
  <c r="G200" i="5"/>
  <c r="A201" i="5"/>
  <c r="B201" i="5"/>
  <c r="G201" i="5"/>
  <c r="A202" i="5"/>
  <c r="B202" i="5"/>
  <c r="G202" i="5"/>
  <c r="A203" i="5"/>
  <c r="B203" i="5"/>
  <c r="G203" i="5"/>
  <c r="A204" i="5"/>
  <c r="B204" i="5"/>
  <c r="G204" i="5"/>
  <c r="A205" i="5"/>
  <c r="B205" i="5"/>
  <c r="G205" i="5"/>
  <c r="A206" i="5"/>
  <c r="B206" i="5"/>
  <c r="G206" i="5"/>
  <c r="A207" i="5"/>
  <c r="B207" i="5"/>
  <c r="G207" i="5"/>
  <c r="A208" i="5"/>
  <c r="B208" i="5"/>
  <c r="G208" i="5"/>
  <c r="A209" i="5"/>
  <c r="B209" i="5"/>
  <c r="G209" i="5"/>
  <c r="A210" i="5"/>
  <c r="B210" i="5"/>
  <c r="G210" i="5"/>
  <c r="A211" i="5"/>
  <c r="B211" i="5"/>
  <c r="G211" i="5"/>
  <c r="A212" i="5"/>
  <c r="B212" i="5"/>
  <c r="G212" i="5"/>
  <c r="A213" i="5"/>
  <c r="B213" i="5"/>
  <c r="G213" i="5"/>
  <c r="A214" i="5"/>
  <c r="B214" i="5"/>
  <c r="G214" i="5"/>
  <c r="A215" i="5"/>
  <c r="B215" i="5"/>
  <c r="G215" i="5"/>
  <c r="A216" i="5"/>
  <c r="B216" i="5"/>
  <c r="G216" i="5"/>
  <c r="A217" i="5"/>
  <c r="B217" i="5"/>
  <c r="G217" i="5"/>
  <c r="A218" i="5"/>
  <c r="B218" i="5"/>
  <c r="G218" i="5"/>
  <c r="A219" i="5"/>
  <c r="B219" i="5"/>
  <c r="G219" i="5"/>
  <c r="A220" i="5"/>
  <c r="B220" i="5"/>
  <c r="G220" i="5"/>
  <c r="A221" i="5"/>
  <c r="B221" i="5"/>
  <c r="G221" i="5"/>
  <c r="A222" i="5"/>
  <c r="B222" i="5"/>
  <c r="G222" i="5"/>
  <c r="A223" i="5"/>
  <c r="B223" i="5"/>
  <c r="G223" i="5"/>
  <c r="A224" i="5"/>
  <c r="B224" i="5"/>
  <c r="G224" i="5"/>
  <c r="A225" i="5"/>
  <c r="B225" i="5"/>
  <c r="G225" i="5"/>
  <c r="A226" i="5"/>
  <c r="B226" i="5"/>
  <c r="G226" i="5"/>
  <c r="A227" i="5"/>
  <c r="B227" i="5"/>
  <c r="G227" i="5"/>
  <c r="A228" i="5"/>
  <c r="B228" i="5"/>
  <c r="G228" i="5"/>
  <c r="A229" i="5"/>
  <c r="B229" i="5"/>
  <c r="G229" i="5"/>
  <c r="A230" i="5"/>
  <c r="B230" i="5"/>
  <c r="G230" i="5"/>
  <c r="A231" i="5"/>
  <c r="B231" i="5"/>
  <c r="G231" i="5"/>
  <c r="A232" i="5"/>
  <c r="B232" i="5"/>
  <c r="G232" i="5"/>
  <c r="A233" i="5"/>
  <c r="B233" i="5"/>
  <c r="G233" i="5"/>
  <c r="A234" i="5"/>
  <c r="B234" i="5"/>
  <c r="G234" i="5"/>
  <c r="A235" i="5"/>
  <c r="B235" i="5"/>
  <c r="G235" i="5"/>
  <c r="A236" i="5"/>
  <c r="B236" i="5"/>
  <c r="G236" i="5"/>
  <c r="A237" i="5"/>
  <c r="B237" i="5"/>
  <c r="G237" i="5"/>
  <c r="A238" i="5"/>
  <c r="B238" i="5"/>
  <c r="G238" i="5"/>
  <c r="A239" i="5"/>
  <c r="B239" i="5"/>
  <c r="G239" i="5"/>
  <c r="A240" i="5"/>
  <c r="B240" i="5"/>
  <c r="G240" i="5"/>
  <c r="A241" i="5"/>
  <c r="B241" i="5"/>
  <c r="G241" i="5"/>
  <c r="A242" i="5"/>
  <c r="B242" i="5"/>
  <c r="G242" i="5"/>
  <c r="A243" i="5"/>
  <c r="B243" i="5"/>
  <c r="G243" i="5"/>
  <c r="A244" i="5"/>
  <c r="B244" i="5"/>
  <c r="G244" i="5"/>
  <c r="A245" i="5"/>
  <c r="B245" i="5"/>
  <c r="G245" i="5"/>
  <c r="A246" i="5"/>
  <c r="B246" i="5"/>
  <c r="G246" i="5"/>
  <c r="A247" i="5"/>
  <c r="B247" i="5"/>
  <c r="G247" i="5"/>
  <c r="A248" i="5"/>
  <c r="B248" i="5"/>
  <c r="G248" i="5"/>
  <c r="A249" i="5"/>
  <c r="B249" i="5"/>
  <c r="G249" i="5"/>
  <c r="A250" i="5"/>
  <c r="B250" i="5"/>
  <c r="G250" i="5"/>
  <c r="A251" i="5"/>
  <c r="B251" i="5"/>
  <c r="G251" i="5"/>
  <c r="A252" i="5"/>
  <c r="B252" i="5"/>
  <c r="G252" i="5"/>
  <c r="A253" i="5"/>
  <c r="B253" i="5"/>
  <c r="G253" i="5"/>
  <c r="A254" i="5"/>
  <c r="B254" i="5"/>
  <c r="G254" i="5"/>
  <c r="A255" i="5"/>
  <c r="B255" i="5"/>
  <c r="G255" i="5"/>
  <c r="A256" i="5"/>
  <c r="B256" i="5"/>
  <c r="G256" i="5"/>
  <c r="A257" i="5"/>
  <c r="B257" i="5"/>
  <c r="G257" i="5"/>
  <c r="A258" i="5"/>
  <c r="B258" i="5"/>
  <c r="G258" i="5"/>
  <c r="A259" i="5"/>
  <c r="B259" i="5"/>
  <c r="G259" i="5"/>
  <c r="A260" i="5"/>
  <c r="B260" i="5"/>
  <c r="G260" i="5"/>
  <c r="A261" i="5"/>
  <c r="B261" i="5"/>
  <c r="G261" i="5"/>
  <c r="A262" i="5"/>
  <c r="B262" i="5"/>
  <c r="G262" i="5"/>
  <c r="A263" i="5"/>
  <c r="B263" i="5"/>
  <c r="G263" i="5"/>
  <c r="A264" i="5"/>
  <c r="B264" i="5"/>
  <c r="G264" i="5"/>
  <c r="A265" i="5"/>
  <c r="B265" i="5"/>
  <c r="G265" i="5"/>
  <c r="A266" i="5"/>
  <c r="B266" i="5"/>
  <c r="G266" i="5"/>
  <c r="A267" i="5"/>
  <c r="B267" i="5"/>
  <c r="G267" i="5"/>
  <c r="A268" i="5"/>
  <c r="B268" i="5"/>
  <c r="G268" i="5"/>
  <c r="A269" i="5"/>
  <c r="B269" i="5"/>
  <c r="G269" i="5"/>
  <c r="A270" i="5"/>
  <c r="B270" i="5"/>
  <c r="G270" i="5"/>
  <c r="A271" i="5"/>
  <c r="B271" i="5"/>
  <c r="G271" i="5"/>
  <c r="A272" i="5"/>
  <c r="B272" i="5"/>
  <c r="G272" i="5"/>
  <c r="A273" i="5"/>
  <c r="B273" i="5"/>
  <c r="G273" i="5"/>
  <c r="A274" i="5"/>
  <c r="B274" i="5"/>
  <c r="G274" i="5"/>
  <c r="A275" i="5"/>
  <c r="B275" i="5"/>
  <c r="G275" i="5"/>
  <c r="A276" i="5"/>
  <c r="B276" i="5"/>
  <c r="G276" i="5"/>
  <c r="A277" i="5"/>
  <c r="B277" i="5"/>
  <c r="G277" i="5"/>
  <c r="A278" i="5"/>
  <c r="B278" i="5"/>
  <c r="G278" i="5"/>
  <c r="A279" i="5"/>
  <c r="B279" i="5"/>
  <c r="G279" i="5"/>
  <c r="A280" i="5"/>
  <c r="B280" i="5"/>
  <c r="G280" i="5"/>
  <c r="A281" i="5"/>
  <c r="B281" i="5"/>
  <c r="G281" i="5"/>
  <c r="A282" i="5"/>
  <c r="B282" i="5"/>
  <c r="G282" i="5"/>
  <c r="A283" i="5"/>
  <c r="B283" i="5"/>
  <c r="G283" i="5"/>
  <c r="A284" i="5"/>
  <c r="B284" i="5"/>
  <c r="G284" i="5"/>
  <c r="A285" i="5"/>
  <c r="B285" i="5"/>
  <c r="G285" i="5"/>
  <c r="A286" i="5"/>
  <c r="B286" i="5"/>
  <c r="G286" i="5"/>
  <c r="A287" i="5"/>
  <c r="B287" i="5"/>
  <c r="G287" i="5"/>
  <c r="A288" i="5"/>
  <c r="B288" i="5"/>
  <c r="G288" i="5"/>
  <c r="A289" i="5"/>
  <c r="B289" i="5"/>
  <c r="G289" i="5"/>
  <c r="A290" i="5"/>
  <c r="B290" i="5"/>
  <c r="G290" i="5"/>
  <c r="A291" i="5"/>
  <c r="B291" i="5"/>
  <c r="G291" i="5"/>
  <c r="A292" i="5"/>
  <c r="B292" i="5"/>
  <c r="G292" i="5"/>
  <c r="A293" i="5"/>
  <c r="B293" i="5"/>
  <c r="G293" i="5"/>
  <c r="A294" i="5"/>
  <c r="B294" i="5"/>
  <c r="G294" i="5"/>
  <c r="A295" i="5"/>
  <c r="B295" i="5"/>
  <c r="G295" i="5"/>
  <c r="A296" i="5"/>
  <c r="B296" i="5"/>
  <c r="G296" i="5"/>
  <c r="A297" i="5"/>
  <c r="B297" i="5"/>
  <c r="G297" i="5"/>
  <c r="A298" i="5"/>
  <c r="B298" i="5"/>
  <c r="G298" i="5"/>
  <c r="A299" i="5"/>
  <c r="B299" i="5"/>
  <c r="G299" i="5"/>
  <c r="A300" i="5"/>
  <c r="B300" i="5"/>
  <c r="G300" i="5"/>
  <c r="A301" i="5"/>
  <c r="B301" i="5"/>
  <c r="G301" i="5"/>
  <c r="A302" i="5"/>
  <c r="B302" i="5"/>
  <c r="G302" i="5"/>
  <c r="A303" i="5"/>
  <c r="B303" i="5"/>
  <c r="G303" i="5"/>
  <c r="A304" i="5"/>
  <c r="B304" i="5"/>
  <c r="G304" i="5"/>
  <c r="A305" i="5"/>
  <c r="B305" i="5"/>
  <c r="G305" i="5"/>
  <c r="G3" i="5"/>
  <c r="B3" i="5"/>
  <c r="A3" i="5"/>
  <c r="G2" i="5"/>
  <c r="B2" i="5"/>
  <c r="D3" i="5"/>
  <c r="C3" i="5"/>
  <c r="A2" i="5"/>
  <c r="A4" i="16"/>
  <c r="B4" i="16"/>
  <c r="G4" i="16"/>
  <c r="A5" i="16"/>
  <c r="B5" i="16"/>
  <c r="G5" i="16"/>
  <c r="A6" i="16"/>
  <c r="B6" i="16"/>
  <c r="G6" i="16"/>
  <c r="A7" i="16"/>
  <c r="B7" i="16"/>
  <c r="G7" i="16"/>
  <c r="A8" i="16"/>
  <c r="B8" i="16"/>
  <c r="G8" i="16"/>
  <c r="A9" i="16"/>
  <c r="B9" i="16"/>
  <c r="G9" i="16"/>
  <c r="A10" i="16"/>
  <c r="B10" i="16"/>
  <c r="G10" i="16"/>
  <c r="A11" i="16"/>
  <c r="B11" i="16"/>
  <c r="G11" i="16"/>
  <c r="A12" i="16"/>
  <c r="B12" i="16"/>
  <c r="G12" i="16"/>
  <c r="A13" i="16"/>
  <c r="B13" i="16"/>
  <c r="G13" i="16"/>
  <c r="A14" i="16"/>
  <c r="B14" i="16"/>
  <c r="G14" i="16"/>
  <c r="A15" i="16"/>
  <c r="B15" i="16"/>
  <c r="G15" i="16"/>
  <c r="A16" i="16"/>
  <c r="B16" i="16"/>
  <c r="G16" i="16"/>
  <c r="A17" i="16"/>
  <c r="B17" i="16"/>
  <c r="G17" i="16"/>
  <c r="A18" i="16"/>
  <c r="B18" i="16"/>
  <c r="G18" i="16"/>
  <c r="A19" i="16"/>
  <c r="B19" i="16"/>
  <c r="G19" i="16"/>
  <c r="A20" i="16"/>
  <c r="B20" i="16"/>
  <c r="G20" i="16"/>
  <c r="A21" i="16"/>
  <c r="B21" i="16"/>
  <c r="G21" i="16"/>
  <c r="A22" i="16"/>
  <c r="B22" i="16"/>
  <c r="G22" i="16"/>
  <c r="A23" i="16"/>
  <c r="B23" i="16"/>
  <c r="G23" i="16"/>
  <c r="A24" i="16"/>
  <c r="B24" i="16"/>
  <c r="G24" i="16"/>
  <c r="A25" i="16"/>
  <c r="B25" i="16"/>
  <c r="G25" i="16"/>
  <c r="A26" i="16"/>
  <c r="B26" i="16"/>
  <c r="G26" i="16"/>
  <c r="A27" i="16"/>
  <c r="B27" i="16"/>
  <c r="G27" i="16"/>
  <c r="A28" i="16"/>
  <c r="B28" i="16"/>
  <c r="G28" i="16"/>
  <c r="A29" i="16"/>
  <c r="B29" i="16"/>
  <c r="G29" i="16"/>
  <c r="A30" i="16"/>
  <c r="B30" i="16"/>
  <c r="G30" i="16"/>
  <c r="A31" i="16"/>
  <c r="B31" i="16"/>
  <c r="G31" i="16"/>
  <c r="A32" i="16"/>
  <c r="B32" i="16"/>
  <c r="G32" i="16"/>
  <c r="A33" i="16"/>
  <c r="B33" i="16"/>
  <c r="G33" i="16"/>
  <c r="A34" i="16"/>
  <c r="B34" i="16"/>
  <c r="G34" i="16"/>
  <c r="A35" i="16"/>
  <c r="B35" i="16"/>
  <c r="G35" i="16"/>
  <c r="A36" i="16"/>
  <c r="B36" i="16"/>
  <c r="G36" i="16"/>
  <c r="A37" i="16"/>
  <c r="B37" i="16"/>
  <c r="G37" i="16"/>
  <c r="A38" i="16"/>
  <c r="B38" i="16"/>
  <c r="G38" i="16"/>
  <c r="A39" i="16"/>
  <c r="B39" i="16"/>
  <c r="G39" i="16"/>
  <c r="A40" i="16"/>
  <c r="B40" i="16"/>
  <c r="G40" i="16"/>
  <c r="A41" i="16"/>
  <c r="B41" i="16"/>
  <c r="G41" i="16"/>
  <c r="A42" i="16"/>
  <c r="B42" i="16"/>
  <c r="G42" i="16"/>
  <c r="A43" i="16"/>
  <c r="B43" i="16"/>
  <c r="G43" i="16"/>
  <c r="A44" i="16"/>
  <c r="B44" i="16"/>
  <c r="G44" i="16"/>
  <c r="A45" i="16"/>
  <c r="B45" i="16"/>
  <c r="G45" i="16"/>
  <c r="A46" i="16"/>
  <c r="B46" i="16"/>
  <c r="G46" i="16"/>
  <c r="A3" i="16"/>
  <c r="B3" i="16"/>
  <c r="G3" i="16"/>
  <c r="G2" i="16"/>
  <c r="B2" i="16"/>
  <c r="A2" i="16"/>
  <c r="C3" i="16"/>
  <c r="C4" i="16" s="1"/>
  <c r="C5" i="16" s="1"/>
  <c r="C6" i="16" s="1"/>
  <c r="C7" i="16" s="1"/>
  <c r="C8" i="16" s="1"/>
  <c r="C9" i="16" s="1"/>
  <c r="C10" i="16" s="1"/>
  <c r="C11" i="16" s="1"/>
  <c r="C12" i="16" s="1"/>
  <c r="C13" i="16" s="1"/>
  <c r="C14" i="16" s="1"/>
  <c r="C15" i="16" s="1"/>
  <c r="C16" i="16" s="1"/>
  <c r="C17" i="16" s="1"/>
  <c r="C18" i="16" s="1"/>
  <c r="C19" i="16" s="1"/>
  <c r="C20" i="16" s="1"/>
  <c r="C21" i="16" s="1"/>
  <c r="C22" i="16" s="1"/>
  <c r="C23" i="16" s="1"/>
  <c r="C24" i="16" s="1"/>
  <c r="C25" i="16" s="1"/>
  <c r="C26" i="16" s="1"/>
  <c r="C27" i="16" s="1"/>
  <c r="C28" i="16" s="1"/>
  <c r="C29" i="16" s="1"/>
  <c r="C30" i="16" s="1"/>
  <c r="C31" i="16" s="1"/>
  <c r="C32" i="16" s="1"/>
  <c r="C33" i="16" s="1"/>
  <c r="C34" i="16" s="1"/>
  <c r="C35" i="16" s="1"/>
  <c r="C36" i="16" s="1"/>
  <c r="C37" i="16" s="1"/>
  <c r="C38" i="16" s="1"/>
  <c r="C39" i="16" s="1"/>
  <c r="C40" i="16" s="1"/>
  <c r="C41" i="16" s="1"/>
  <c r="C42" i="16" s="1"/>
  <c r="C43" i="16" s="1"/>
  <c r="C44" i="16" s="1"/>
  <c r="C45" i="16" s="1"/>
  <c r="C46" i="16" s="1"/>
  <c r="D3" i="16"/>
  <c r="D4" i="16" s="1"/>
  <c r="D5" i="16" s="1"/>
  <c r="D6" i="16" s="1"/>
  <c r="D7" i="16" s="1"/>
  <c r="D8" i="16" s="1"/>
  <c r="D9" i="16" s="1"/>
  <c r="D10" i="16" s="1"/>
  <c r="D11" i="16" s="1"/>
  <c r="D12" i="16" s="1"/>
  <c r="D13" i="16" s="1"/>
  <c r="D14" i="16" s="1"/>
  <c r="D15" i="16" s="1"/>
  <c r="D16" i="16" s="1"/>
  <c r="D17" i="16" s="1"/>
  <c r="D18" i="16" s="1"/>
  <c r="D19" i="16" s="1"/>
  <c r="D20" i="16" s="1"/>
  <c r="D21" i="16" s="1"/>
  <c r="D22" i="16" s="1"/>
  <c r="D23" i="16" s="1"/>
  <c r="D24" i="16" s="1"/>
  <c r="D25" i="16" s="1"/>
  <c r="D26" i="16" s="1"/>
  <c r="D27" i="16" s="1"/>
  <c r="D28" i="16" s="1"/>
  <c r="D29" i="16" s="1"/>
  <c r="D30" i="16" s="1"/>
  <c r="D31" i="16" s="1"/>
  <c r="D32" i="16" s="1"/>
  <c r="D33" i="16" s="1"/>
  <c r="D34" i="16" s="1"/>
  <c r="D35" i="16" s="1"/>
  <c r="D36" i="16" s="1"/>
  <c r="D37" i="16" s="1"/>
  <c r="D38" i="16" s="1"/>
  <c r="D39" i="16" s="1"/>
  <c r="D40" i="16" s="1"/>
  <c r="D41" i="16" s="1"/>
  <c r="D42" i="16" s="1"/>
  <c r="D43" i="16" s="1"/>
  <c r="D44" i="16" s="1"/>
  <c r="D45" i="16" s="1"/>
  <c r="D46" i="16" s="1"/>
  <c r="A3" i="15" l="1"/>
  <c r="B3" i="15"/>
  <c r="A4" i="15"/>
  <c r="B4" i="15"/>
  <c r="A5" i="15"/>
  <c r="B5" i="15"/>
  <c r="A6" i="15"/>
  <c r="B6" i="15"/>
  <c r="A7" i="15"/>
  <c r="B7" i="15"/>
  <c r="A8" i="15"/>
  <c r="B8" i="15"/>
  <c r="A9" i="15"/>
  <c r="B9" i="15"/>
  <c r="A10" i="15"/>
  <c r="B10" i="15"/>
  <c r="A11" i="15"/>
  <c r="B11" i="15"/>
  <c r="A12" i="15"/>
  <c r="B12" i="15"/>
  <c r="A13" i="15"/>
  <c r="B13" i="15"/>
  <c r="A14" i="15"/>
  <c r="B14" i="15"/>
  <c r="A15" i="15"/>
  <c r="B15" i="15"/>
  <c r="A16" i="15"/>
  <c r="B16" i="15"/>
  <c r="A17" i="15"/>
  <c r="B17" i="15"/>
  <c r="A18" i="15"/>
  <c r="B18" i="15"/>
  <c r="A19" i="15"/>
  <c r="B19" i="15"/>
  <c r="A20" i="15"/>
  <c r="B20" i="15"/>
  <c r="A21" i="15"/>
  <c r="B21" i="15"/>
  <c r="A22" i="15"/>
  <c r="B22" i="15"/>
  <c r="A23" i="15"/>
  <c r="B23" i="15"/>
  <c r="A24" i="15"/>
  <c r="B24" i="15"/>
  <c r="A25" i="15"/>
  <c r="B25" i="15"/>
  <c r="A26" i="15"/>
  <c r="B26" i="15"/>
  <c r="A27" i="15"/>
  <c r="B27" i="15"/>
  <c r="A28" i="15"/>
  <c r="B28" i="15"/>
  <c r="A29" i="15"/>
  <c r="B29" i="15"/>
  <c r="A30" i="15"/>
  <c r="B30" i="15"/>
  <c r="A31" i="15"/>
  <c r="B31" i="15"/>
  <c r="A32" i="15"/>
  <c r="B32" i="15"/>
  <c r="A33" i="15"/>
  <c r="B33" i="15"/>
  <c r="A34" i="15"/>
  <c r="B34" i="15"/>
  <c r="A35" i="15"/>
  <c r="B35" i="15"/>
  <c r="A36" i="15"/>
  <c r="B36" i="15"/>
  <c r="A37" i="15"/>
  <c r="B37" i="15"/>
  <c r="A38" i="15"/>
  <c r="B38" i="15"/>
  <c r="A39" i="15"/>
  <c r="B39" i="15"/>
  <c r="A40" i="15"/>
  <c r="B40" i="15"/>
  <c r="A41" i="15"/>
  <c r="B41" i="15"/>
  <c r="A42" i="15"/>
  <c r="B42" i="15"/>
  <c r="A43" i="15"/>
  <c r="B43" i="15"/>
  <c r="A44" i="15"/>
  <c r="B44" i="15"/>
  <c r="A45" i="15"/>
  <c r="B45" i="15"/>
  <c r="A46" i="15"/>
  <c r="B46" i="15"/>
  <c r="A47" i="15"/>
  <c r="B47" i="15"/>
  <c r="A2" i="15"/>
  <c r="B2" i="15"/>
  <c r="B2" i="14"/>
  <c r="A2" i="14"/>
  <c r="D47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23" i="14"/>
  <c r="D24" i="14"/>
  <c r="D25" i="14"/>
  <c r="D26" i="14"/>
  <c r="D27" i="14"/>
  <c r="D28" i="14"/>
  <c r="D29" i="14"/>
  <c r="D30" i="14"/>
  <c r="D31" i="14"/>
  <c r="D32" i="14"/>
  <c r="D15" i="14"/>
  <c r="D16" i="14"/>
  <c r="D17" i="14"/>
  <c r="D18" i="14"/>
  <c r="D19" i="14"/>
  <c r="D20" i="14"/>
  <c r="D21" i="14"/>
  <c r="D22" i="14"/>
  <c r="D4" i="14"/>
  <c r="D5" i="14"/>
  <c r="D6" i="14"/>
  <c r="D7" i="14"/>
  <c r="D8" i="14"/>
  <c r="D9" i="14"/>
  <c r="D10" i="14"/>
  <c r="D11" i="14"/>
  <c r="D12" i="14"/>
  <c r="D13" i="14"/>
  <c r="D14" i="14"/>
  <c r="D3" i="14"/>
  <c r="L47" i="13"/>
  <c r="I47" i="13" s="1"/>
  <c r="B47" i="14" s="1"/>
  <c r="L46" i="13"/>
  <c r="I46" i="13" s="1"/>
  <c r="B46" i="14" s="1"/>
  <c r="L45" i="13"/>
  <c r="I45" i="13" s="1"/>
  <c r="F45" i="13" s="1"/>
  <c r="H45" i="13" s="1"/>
  <c r="A45" i="14" s="1"/>
  <c r="L44" i="13"/>
  <c r="I44" i="13" s="1"/>
  <c r="F44" i="13" s="1"/>
  <c r="H44" i="13" s="1"/>
  <c r="A44" i="14" s="1"/>
  <c r="L43" i="13"/>
  <c r="I43" i="13" s="1"/>
  <c r="B43" i="14" s="1"/>
  <c r="L42" i="13"/>
  <c r="I42" i="13" s="1"/>
  <c r="B42" i="14" s="1"/>
  <c r="L41" i="13"/>
  <c r="I41" i="13" s="1"/>
  <c r="B41" i="14" s="1"/>
  <c r="L40" i="13"/>
  <c r="I40" i="13" s="1"/>
  <c r="F40" i="13" s="1"/>
  <c r="H40" i="13" s="1"/>
  <c r="A40" i="14" s="1"/>
  <c r="L39" i="13"/>
  <c r="I39" i="13" s="1"/>
  <c r="B39" i="14" s="1"/>
  <c r="L38" i="13"/>
  <c r="I38" i="13" s="1"/>
  <c r="B38" i="14" s="1"/>
  <c r="L37" i="13"/>
  <c r="I37" i="13" s="1"/>
  <c r="F37" i="13" s="1"/>
  <c r="H37" i="13" s="1"/>
  <c r="A37" i="14" s="1"/>
  <c r="L36" i="13"/>
  <c r="I36" i="13" s="1"/>
  <c r="F36" i="13" s="1"/>
  <c r="H36" i="13" s="1"/>
  <c r="A36" i="14" s="1"/>
  <c r="L35" i="13"/>
  <c r="I35" i="13" s="1"/>
  <c r="B35" i="14" s="1"/>
  <c r="L34" i="13"/>
  <c r="I34" i="13" s="1"/>
  <c r="B34" i="14" s="1"/>
  <c r="L33" i="13"/>
  <c r="I33" i="13" s="1"/>
  <c r="B33" i="14" s="1"/>
  <c r="L32" i="13"/>
  <c r="I32" i="13" s="1"/>
  <c r="F32" i="13" s="1"/>
  <c r="H32" i="13" s="1"/>
  <c r="A32" i="14" s="1"/>
  <c r="L31" i="13"/>
  <c r="I31" i="13" s="1"/>
  <c r="B31" i="14" s="1"/>
  <c r="L30" i="13"/>
  <c r="I30" i="13" s="1"/>
  <c r="B30" i="14" s="1"/>
  <c r="L29" i="13"/>
  <c r="I29" i="13" s="1"/>
  <c r="F29" i="13" s="1"/>
  <c r="H29" i="13" s="1"/>
  <c r="A29" i="14" s="1"/>
  <c r="L28" i="13"/>
  <c r="I28" i="13" s="1"/>
  <c r="F28" i="13" s="1"/>
  <c r="H28" i="13" s="1"/>
  <c r="A28" i="14" s="1"/>
  <c r="L27" i="13"/>
  <c r="I27" i="13" s="1"/>
  <c r="B27" i="14" s="1"/>
  <c r="L26" i="13"/>
  <c r="I26" i="13" s="1"/>
  <c r="B26" i="14" s="1"/>
  <c r="L25" i="13"/>
  <c r="I25" i="13" s="1"/>
  <c r="B25" i="14" s="1"/>
  <c r="L24" i="13"/>
  <c r="I24" i="13" s="1"/>
  <c r="F24" i="13" s="1"/>
  <c r="H24" i="13" s="1"/>
  <c r="A24" i="14" s="1"/>
  <c r="L23" i="13"/>
  <c r="I23" i="13" s="1"/>
  <c r="B23" i="14" s="1"/>
  <c r="L22" i="13"/>
  <c r="I22" i="13" s="1"/>
  <c r="F22" i="13" s="1"/>
  <c r="H22" i="13" s="1"/>
  <c r="A22" i="14" s="1"/>
  <c r="L21" i="13"/>
  <c r="I21" i="13" s="1"/>
  <c r="F21" i="13" s="1"/>
  <c r="H21" i="13" s="1"/>
  <c r="A21" i="14" s="1"/>
  <c r="L20" i="13"/>
  <c r="I20" i="13" s="1"/>
  <c r="F20" i="13" s="1"/>
  <c r="H20" i="13" s="1"/>
  <c r="A20" i="14" s="1"/>
  <c r="L19" i="13"/>
  <c r="I19" i="13" s="1"/>
  <c r="F19" i="13" s="1"/>
  <c r="H19" i="13" s="1"/>
  <c r="A19" i="14" s="1"/>
  <c r="L18" i="13"/>
  <c r="I18" i="13" s="1"/>
  <c r="F18" i="13" s="1"/>
  <c r="H18" i="13" s="1"/>
  <c r="A18" i="14" s="1"/>
  <c r="A18" i="13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47" i="13" s="1"/>
  <c r="L17" i="13"/>
  <c r="I17" i="13" s="1"/>
  <c r="B17" i="14" s="1"/>
  <c r="L16" i="13"/>
  <c r="I16" i="13" s="1"/>
  <c r="F16" i="13" s="1"/>
  <c r="H16" i="13" s="1"/>
  <c r="A16" i="14" s="1"/>
  <c r="L15" i="13"/>
  <c r="I15" i="13" s="1"/>
  <c r="B15" i="14" s="1"/>
  <c r="L14" i="13"/>
  <c r="I14" i="13" s="1"/>
  <c r="F14" i="13" s="1"/>
  <c r="H14" i="13" s="1"/>
  <c r="A14" i="14" s="1"/>
  <c r="L13" i="13"/>
  <c r="I13" i="13" s="1"/>
  <c r="F13" i="13" s="1"/>
  <c r="H13" i="13" s="1"/>
  <c r="A13" i="14" s="1"/>
  <c r="L12" i="13"/>
  <c r="I12" i="13" s="1"/>
  <c r="B12" i="14" s="1"/>
  <c r="L11" i="13"/>
  <c r="I11" i="13" s="1"/>
  <c r="M11" i="13" s="1"/>
  <c r="N11" i="13" s="1"/>
  <c r="L10" i="13"/>
  <c r="I10" i="13" s="1"/>
  <c r="B10" i="14" s="1"/>
  <c r="L9" i="13"/>
  <c r="I9" i="13" s="1"/>
  <c r="M9" i="13" s="1"/>
  <c r="N9" i="13" s="1"/>
  <c r="L8" i="13"/>
  <c r="I8" i="13" s="1"/>
  <c r="B8" i="14" s="1"/>
  <c r="L7" i="13"/>
  <c r="I7" i="13" s="1"/>
  <c r="M7" i="13" s="1"/>
  <c r="N7" i="13" s="1"/>
  <c r="L6" i="13"/>
  <c r="I6" i="13" s="1"/>
  <c r="B6" i="14" s="1"/>
  <c r="L5" i="13"/>
  <c r="I5" i="13" s="1"/>
  <c r="F5" i="13" s="1"/>
  <c r="H5" i="13" s="1"/>
  <c r="A5" i="14" s="1"/>
  <c r="L4" i="13"/>
  <c r="I4" i="13" s="1"/>
  <c r="B4" i="14" s="1"/>
  <c r="L3" i="13"/>
  <c r="I3" i="13" s="1"/>
  <c r="B3" i="14" s="1"/>
  <c r="F2" i="13"/>
  <c r="C47" i="14"/>
  <c r="C33" i="14"/>
  <c r="C34" i="14"/>
  <c r="C35" i="14"/>
  <c r="C36" i="14"/>
  <c r="C37" i="14"/>
  <c r="C38" i="14"/>
  <c r="C39" i="14"/>
  <c r="C40" i="14"/>
  <c r="C41" i="14"/>
  <c r="C42" i="14"/>
  <c r="C43" i="14"/>
  <c r="C44" i="14"/>
  <c r="C45" i="14"/>
  <c r="C46" i="14"/>
  <c r="C27" i="14"/>
  <c r="C29" i="14"/>
  <c r="C23" i="14"/>
  <c r="C24" i="14"/>
  <c r="C25" i="14"/>
  <c r="C26" i="14"/>
  <c r="C30" i="14"/>
  <c r="C31" i="14"/>
  <c r="C32" i="14"/>
  <c r="C28" i="14"/>
  <c r="C18" i="14"/>
  <c r="C17" i="14"/>
  <c r="C15" i="14"/>
  <c r="C16" i="14"/>
  <c r="C20" i="14"/>
  <c r="C21" i="14"/>
  <c r="C22" i="14"/>
  <c r="C19" i="14"/>
  <c r="C13" i="14"/>
  <c r="C10" i="14"/>
  <c r="C4" i="14"/>
  <c r="C5" i="14"/>
  <c r="C6" i="14"/>
  <c r="C7" i="14"/>
  <c r="C8" i="14"/>
  <c r="C9" i="14"/>
  <c r="C11" i="14"/>
  <c r="C12" i="14"/>
  <c r="C14" i="14"/>
  <c r="C3" i="14"/>
  <c r="B47" i="13"/>
  <c r="B43" i="13"/>
  <c r="B39" i="13"/>
  <c r="B35" i="13"/>
  <c r="B31" i="13"/>
  <c r="B27" i="13"/>
  <c r="B23" i="13"/>
  <c r="B19" i="13"/>
  <c r="B16" i="13"/>
  <c r="B14" i="13"/>
  <c r="B44" i="13"/>
  <c r="B40" i="13"/>
  <c r="B36" i="13"/>
  <c r="B32" i="13"/>
  <c r="B28" i="13"/>
  <c r="B24" i="13"/>
  <c r="B45" i="13"/>
  <c r="B41" i="13"/>
  <c r="B37" i="13"/>
  <c r="B33" i="13"/>
  <c r="B29" i="13"/>
  <c r="B25" i="13"/>
  <c r="B21" i="13"/>
  <c r="B17" i="13"/>
  <c r="B15" i="13"/>
  <c r="B46" i="13"/>
  <c r="B38" i="13"/>
  <c r="B4" i="13"/>
  <c r="B2" i="13"/>
  <c r="B42" i="13"/>
  <c r="B34" i="13"/>
  <c r="B26" i="13"/>
  <c r="B20" i="13"/>
  <c r="B13" i="13"/>
  <c r="B11" i="13"/>
  <c r="B9" i="13"/>
  <c r="B7" i="13"/>
  <c r="B5" i="13"/>
  <c r="B3" i="13"/>
  <c r="B22" i="13"/>
  <c r="B18" i="13"/>
  <c r="B30" i="13"/>
  <c r="B12" i="13"/>
  <c r="B10" i="13"/>
  <c r="B8" i="13"/>
  <c r="B6" i="13"/>
  <c r="P47" i="13" l="1"/>
  <c r="P45" i="13"/>
  <c r="P43" i="13"/>
  <c r="P41" i="13"/>
  <c r="P39" i="13"/>
  <c r="P37" i="13"/>
  <c r="P35" i="13"/>
  <c r="P33" i="13"/>
  <c r="P31" i="13"/>
  <c r="P29" i="13"/>
  <c r="P27" i="13"/>
  <c r="P25" i="13"/>
  <c r="P23" i="13"/>
  <c r="P21" i="13"/>
  <c r="P19" i="13"/>
  <c r="P17" i="13"/>
  <c r="P15" i="13"/>
  <c r="P13" i="13"/>
  <c r="P11" i="13"/>
  <c r="P9" i="13"/>
  <c r="P7" i="13"/>
  <c r="P5" i="13"/>
  <c r="P46" i="13"/>
  <c r="P44" i="13"/>
  <c r="P42" i="13"/>
  <c r="P40" i="13"/>
  <c r="P38" i="13"/>
  <c r="P36" i="13"/>
  <c r="P34" i="13"/>
  <c r="P32" i="13"/>
  <c r="P30" i="13"/>
  <c r="P28" i="13"/>
  <c r="P26" i="13"/>
  <c r="P24" i="13"/>
  <c r="P22" i="13"/>
  <c r="P20" i="13"/>
  <c r="P18" i="13"/>
  <c r="P16" i="13"/>
  <c r="P14" i="13"/>
  <c r="P12" i="13"/>
  <c r="P10" i="13"/>
  <c r="P8" i="13"/>
  <c r="P6" i="13"/>
  <c r="P4" i="13"/>
  <c r="P3" i="13"/>
  <c r="B11" i="14"/>
  <c r="B7" i="14"/>
  <c r="B22" i="14"/>
  <c r="B18" i="14"/>
  <c r="B32" i="14"/>
  <c r="B28" i="14"/>
  <c r="B24" i="14"/>
  <c r="B44" i="14"/>
  <c r="B40" i="14"/>
  <c r="B36" i="14"/>
  <c r="B19" i="14"/>
  <c r="B29" i="14"/>
  <c r="B45" i="14"/>
  <c r="B37" i="14"/>
  <c r="B13" i="14"/>
  <c r="B9" i="14"/>
  <c r="B5" i="14"/>
  <c r="B20" i="14"/>
  <c r="B16" i="14"/>
  <c r="B14" i="14"/>
  <c r="B21" i="14"/>
  <c r="F33" i="13"/>
  <c r="H33" i="13" s="1"/>
  <c r="A33" i="14" s="1"/>
  <c r="M33" i="13"/>
  <c r="N33" i="13" s="1"/>
  <c r="G33" i="13" s="1"/>
  <c r="E33" i="13" s="1"/>
  <c r="F15" i="13"/>
  <c r="H15" i="13" s="1"/>
  <c r="A15" i="14" s="1"/>
  <c r="M15" i="13"/>
  <c r="N15" i="13" s="1"/>
  <c r="G15" i="13" s="1"/>
  <c r="E15" i="13" s="1"/>
  <c r="F17" i="13"/>
  <c r="H17" i="13" s="1"/>
  <c r="A17" i="14" s="1"/>
  <c r="M17" i="13"/>
  <c r="N17" i="13" s="1"/>
  <c r="G17" i="13" s="1"/>
  <c r="E17" i="13" s="1"/>
  <c r="F25" i="13"/>
  <c r="H25" i="13" s="1"/>
  <c r="A25" i="14" s="1"/>
  <c r="M25" i="13"/>
  <c r="N25" i="13" s="1"/>
  <c r="G25" i="13" s="1"/>
  <c r="E25" i="13" s="1"/>
  <c r="F41" i="13"/>
  <c r="H41" i="13" s="1"/>
  <c r="A41" i="14" s="1"/>
  <c r="M41" i="13"/>
  <c r="N41" i="13" s="1"/>
  <c r="G41" i="13" s="1"/>
  <c r="E41" i="13" s="1"/>
  <c r="M29" i="13"/>
  <c r="N29" i="13" s="1"/>
  <c r="G29" i="13" s="1"/>
  <c r="E29" i="13" s="1"/>
  <c r="M37" i="13"/>
  <c r="N37" i="13" s="1"/>
  <c r="G37" i="13" s="1"/>
  <c r="E37" i="13" s="1"/>
  <c r="M45" i="13"/>
  <c r="N45" i="13" s="1"/>
  <c r="G45" i="13" s="1"/>
  <c r="E45" i="13" s="1"/>
  <c r="F6" i="13"/>
  <c r="H6" i="13" s="1"/>
  <c r="A6" i="14" s="1"/>
  <c r="M6" i="13"/>
  <c r="N6" i="13" s="1"/>
  <c r="G6" i="13" s="1"/>
  <c r="E6" i="13" s="1"/>
  <c r="F4" i="13"/>
  <c r="H4" i="13" s="1"/>
  <c r="A4" i="14" s="1"/>
  <c r="M4" i="13"/>
  <c r="N4" i="13" s="1"/>
  <c r="G4" i="13" s="1"/>
  <c r="E4" i="13" s="1"/>
  <c r="M12" i="13"/>
  <c r="N12" i="13" s="1"/>
  <c r="G12" i="13" s="1"/>
  <c r="E12" i="13" s="1"/>
  <c r="F12" i="13"/>
  <c r="H12" i="13" s="1"/>
  <c r="A12" i="14" s="1"/>
  <c r="F8" i="13"/>
  <c r="H8" i="13" s="1"/>
  <c r="A8" i="14" s="1"/>
  <c r="M8" i="13"/>
  <c r="N8" i="13" s="1"/>
  <c r="G8" i="13" s="1"/>
  <c r="E8" i="13" s="1"/>
  <c r="M10" i="13"/>
  <c r="N10" i="13" s="1"/>
  <c r="G10" i="13" s="1"/>
  <c r="E10" i="13" s="1"/>
  <c r="F10" i="13"/>
  <c r="H10" i="13" s="1"/>
  <c r="A10" i="14" s="1"/>
  <c r="F7" i="13"/>
  <c r="H7" i="13" s="1"/>
  <c r="A7" i="14" s="1"/>
  <c r="F9" i="13"/>
  <c r="H9" i="13" s="1"/>
  <c r="A9" i="14" s="1"/>
  <c r="F11" i="13"/>
  <c r="H11" i="13" s="1"/>
  <c r="A11" i="14" s="1"/>
  <c r="M14" i="13"/>
  <c r="N14" i="13" s="1"/>
  <c r="G14" i="13" s="1"/>
  <c r="E14" i="13" s="1"/>
  <c r="M16" i="13"/>
  <c r="N16" i="13" s="1"/>
  <c r="G16" i="13" s="1"/>
  <c r="E16" i="13" s="1"/>
  <c r="M19" i="13"/>
  <c r="N19" i="13" s="1"/>
  <c r="G19" i="13" s="1"/>
  <c r="E19" i="13" s="1"/>
  <c r="M26" i="13"/>
  <c r="N26" i="13" s="1"/>
  <c r="G26" i="13" s="1"/>
  <c r="E26" i="13" s="1"/>
  <c r="F26" i="13"/>
  <c r="H26" i="13" s="1"/>
  <c r="A26" i="14" s="1"/>
  <c r="M27" i="13"/>
  <c r="N27" i="13" s="1"/>
  <c r="G27" i="13" s="1"/>
  <c r="E27" i="13" s="1"/>
  <c r="F27" i="13"/>
  <c r="H27" i="13" s="1"/>
  <c r="A27" i="14" s="1"/>
  <c r="M34" i="13"/>
  <c r="N34" i="13" s="1"/>
  <c r="G34" i="13" s="1"/>
  <c r="E34" i="13" s="1"/>
  <c r="F34" i="13"/>
  <c r="H34" i="13" s="1"/>
  <c r="A34" i="14" s="1"/>
  <c r="M35" i="13"/>
  <c r="N35" i="13" s="1"/>
  <c r="G35" i="13" s="1"/>
  <c r="E35" i="13" s="1"/>
  <c r="F35" i="13"/>
  <c r="H35" i="13" s="1"/>
  <c r="A35" i="14" s="1"/>
  <c r="M42" i="13"/>
  <c r="N42" i="13" s="1"/>
  <c r="G42" i="13" s="1"/>
  <c r="E42" i="13" s="1"/>
  <c r="F42" i="13"/>
  <c r="H42" i="13" s="1"/>
  <c r="A42" i="14" s="1"/>
  <c r="M3" i="13"/>
  <c r="N3" i="13" s="1"/>
  <c r="G3" i="13" s="1"/>
  <c r="E3" i="13" s="1"/>
  <c r="M5" i="13"/>
  <c r="N5" i="13" s="1"/>
  <c r="G5" i="13" s="1"/>
  <c r="E5" i="13" s="1"/>
  <c r="G7" i="13"/>
  <c r="E7" i="13" s="1"/>
  <c r="G9" i="13"/>
  <c r="E9" i="13" s="1"/>
  <c r="G11" i="13"/>
  <c r="E11" i="13" s="1"/>
  <c r="M13" i="13"/>
  <c r="N13" i="13" s="1"/>
  <c r="G13" i="13" s="1"/>
  <c r="E13" i="13" s="1"/>
  <c r="M20" i="13"/>
  <c r="N20" i="13" s="1"/>
  <c r="G20" i="13" s="1"/>
  <c r="E20" i="13" s="1"/>
  <c r="M21" i="13"/>
  <c r="N21" i="13" s="1"/>
  <c r="G21" i="13" s="1"/>
  <c r="E21" i="13" s="1"/>
  <c r="M22" i="13"/>
  <c r="N22" i="13" s="1"/>
  <c r="G22" i="13" s="1"/>
  <c r="E22" i="13" s="1"/>
  <c r="M23" i="13"/>
  <c r="N23" i="13" s="1"/>
  <c r="G23" i="13" s="1"/>
  <c r="E23" i="13" s="1"/>
  <c r="F23" i="13"/>
  <c r="H23" i="13" s="1"/>
  <c r="A23" i="14" s="1"/>
  <c r="M24" i="13"/>
  <c r="N24" i="13" s="1"/>
  <c r="G24" i="13" s="1"/>
  <c r="E24" i="13" s="1"/>
  <c r="M30" i="13"/>
  <c r="N30" i="13" s="1"/>
  <c r="G30" i="13" s="1"/>
  <c r="E30" i="13" s="1"/>
  <c r="F30" i="13"/>
  <c r="H30" i="13" s="1"/>
  <c r="A30" i="14" s="1"/>
  <c r="M31" i="13"/>
  <c r="N31" i="13" s="1"/>
  <c r="G31" i="13" s="1"/>
  <c r="E31" i="13" s="1"/>
  <c r="F31" i="13"/>
  <c r="H31" i="13" s="1"/>
  <c r="A31" i="14" s="1"/>
  <c r="M32" i="13"/>
  <c r="N32" i="13" s="1"/>
  <c r="G32" i="13" s="1"/>
  <c r="E32" i="13" s="1"/>
  <c r="M38" i="13"/>
  <c r="N38" i="13" s="1"/>
  <c r="G38" i="13" s="1"/>
  <c r="E38" i="13" s="1"/>
  <c r="F38" i="13"/>
  <c r="H38" i="13" s="1"/>
  <c r="A38" i="14" s="1"/>
  <c r="M39" i="13"/>
  <c r="N39" i="13" s="1"/>
  <c r="G39" i="13" s="1"/>
  <c r="E39" i="13" s="1"/>
  <c r="F39" i="13"/>
  <c r="H39" i="13" s="1"/>
  <c r="A39" i="14" s="1"/>
  <c r="M40" i="13"/>
  <c r="N40" i="13" s="1"/>
  <c r="G40" i="13" s="1"/>
  <c r="E40" i="13" s="1"/>
  <c r="M46" i="13"/>
  <c r="N46" i="13" s="1"/>
  <c r="G46" i="13" s="1"/>
  <c r="E46" i="13" s="1"/>
  <c r="F46" i="13"/>
  <c r="H46" i="13" s="1"/>
  <c r="A46" i="14" s="1"/>
  <c r="M47" i="13"/>
  <c r="N47" i="13" s="1"/>
  <c r="G47" i="13" s="1"/>
  <c r="E47" i="13" s="1"/>
  <c r="F47" i="13"/>
  <c r="H47" i="13" s="1"/>
  <c r="A47" i="14" s="1"/>
  <c r="F3" i="13"/>
  <c r="H3" i="13" s="1"/>
  <c r="A3" i="14" s="1"/>
  <c r="M18" i="13"/>
  <c r="N18" i="13" s="1"/>
  <c r="G18" i="13" s="1"/>
  <c r="E18" i="13" s="1"/>
  <c r="M28" i="13"/>
  <c r="N28" i="13" s="1"/>
  <c r="G28" i="13" s="1"/>
  <c r="E28" i="13" s="1"/>
  <c r="M36" i="13"/>
  <c r="N36" i="13" s="1"/>
  <c r="G36" i="13" s="1"/>
  <c r="E36" i="13" s="1"/>
  <c r="M43" i="13"/>
  <c r="N43" i="13" s="1"/>
  <c r="G43" i="13" s="1"/>
  <c r="E43" i="13" s="1"/>
  <c r="F43" i="13"/>
  <c r="H43" i="13" s="1"/>
  <c r="A43" i="14" s="1"/>
  <c r="M44" i="13"/>
  <c r="N44" i="13" s="1"/>
  <c r="G44" i="13" s="1"/>
  <c r="E44" i="13" s="1"/>
  <c r="D219" i="8" l="1"/>
  <c r="D220" i="8"/>
  <c r="D221" i="8"/>
  <c r="D222" i="8"/>
  <c r="D223" i="8"/>
  <c r="D224" i="8"/>
  <c r="D225" i="8"/>
  <c r="D226" i="8"/>
  <c r="D227" i="8"/>
  <c r="D228" i="8"/>
  <c r="D229" i="8"/>
  <c r="D230" i="8"/>
  <c r="D231" i="8"/>
  <c r="D232" i="8"/>
  <c r="D233" i="8"/>
  <c r="D234" i="8"/>
  <c r="D235" i="8"/>
  <c r="D236" i="8"/>
  <c r="D237" i="8"/>
  <c r="D238" i="8"/>
  <c r="D239" i="8"/>
  <c r="D240" i="8"/>
  <c r="D241" i="8"/>
  <c r="D242" i="8"/>
  <c r="D243" i="8"/>
  <c r="D244" i="8"/>
  <c r="D245" i="8"/>
  <c r="D246" i="8"/>
  <c r="D247" i="8"/>
  <c r="D248" i="8"/>
  <c r="D249" i="8"/>
  <c r="D250" i="8"/>
  <c r="D251" i="8"/>
  <c r="D252" i="8"/>
  <c r="D253" i="8"/>
  <c r="D254" i="8"/>
  <c r="D255" i="8"/>
  <c r="D256" i="8"/>
  <c r="D257" i="8"/>
  <c r="D258" i="8"/>
  <c r="D259" i="8"/>
  <c r="D260" i="8"/>
  <c r="D261" i="8"/>
  <c r="D262" i="8"/>
  <c r="D263" i="8"/>
  <c r="D264" i="8"/>
  <c r="D265" i="8"/>
  <c r="D266" i="8"/>
  <c r="D267" i="8"/>
  <c r="D268" i="8"/>
  <c r="D269" i="8"/>
  <c r="D270" i="8"/>
  <c r="D271" i="8"/>
  <c r="D272" i="8"/>
  <c r="D273" i="8"/>
  <c r="D274" i="8"/>
  <c r="D275" i="8"/>
  <c r="D276" i="8"/>
  <c r="D277" i="8"/>
  <c r="D278" i="8"/>
  <c r="D279" i="8"/>
  <c r="D280" i="8"/>
  <c r="D281" i="8"/>
  <c r="D282" i="8"/>
  <c r="D283" i="8"/>
  <c r="D284" i="8"/>
  <c r="D285" i="8"/>
  <c r="D286" i="8"/>
  <c r="D287" i="8"/>
  <c r="D288" i="8"/>
  <c r="D289" i="8"/>
  <c r="D290" i="8"/>
  <c r="D291" i="8"/>
  <c r="D292" i="8"/>
  <c r="D293" i="8"/>
  <c r="D294" i="8"/>
  <c r="D295" i="8"/>
  <c r="D296" i="8"/>
  <c r="D297" i="8"/>
  <c r="D298" i="8"/>
  <c r="D299" i="8"/>
  <c r="D300" i="8"/>
  <c r="D301" i="8"/>
  <c r="D302" i="8"/>
  <c r="D303" i="8"/>
  <c r="D304" i="8"/>
  <c r="D305" i="8"/>
  <c r="D306" i="8"/>
  <c r="D196" i="8"/>
  <c r="D197" i="8"/>
  <c r="D198" i="8"/>
  <c r="D199" i="8"/>
  <c r="D200" i="8"/>
  <c r="D201" i="8"/>
  <c r="D202" i="8"/>
  <c r="D203" i="8"/>
  <c r="D204" i="8"/>
  <c r="D205" i="8"/>
  <c r="D206" i="8"/>
  <c r="D207" i="8"/>
  <c r="D208" i="8"/>
  <c r="D209" i="8"/>
  <c r="D210" i="8"/>
  <c r="D211" i="8"/>
  <c r="D212" i="8"/>
  <c r="D213" i="8"/>
  <c r="D214" i="8"/>
  <c r="D215" i="8"/>
  <c r="D216" i="8"/>
  <c r="D217" i="8"/>
  <c r="D218" i="8"/>
  <c r="D172" i="8"/>
  <c r="D173" i="8"/>
  <c r="D174" i="8"/>
  <c r="D175" i="8"/>
  <c r="D176" i="8"/>
  <c r="D177" i="8"/>
  <c r="D178" i="8"/>
  <c r="D179" i="8"/>
  <c r="D180" i="8"/>
  <c r="D181" i="8"/>
  <c r="D182" i="8"/>
  <c r="D183" i="8"/>
  <c r="D184" i="8"/>
  <c r="D185" i="8"/>
  <c r="D186" i="8"/>
  <c r="D187" i="8"/>
  <c r="D188" i="8"/>
  <c r="D189" i="8"/>
  <c r="D190" i="8"/>
  <c r="D191" i="8"/>
  <c r="D192" i="8"/>
  <c r="D193" i="8"/>
  <c r="D194" i="8"/>
  <c r="D195" i="8"/>
  <c r="D167" i="8"/>
  <c r="D168" i="8"/>
  <c r="D169" i="8"/>
  <c r="D170" i="8"/>
  <c r="D171" i="8"/>
  <c r="B2" i="4"/>
  <c r="B2" i="1" l="1"/>
  <c r="P3" i="4" l="1"/>
  <c r="P9" i="4"/>
  <c r="P7" i="4"/>
  <c r="P5" i="4"/>
  <c r="P8" i="4"/>
  <c r="P6" i="4"/>
  <c r="P4" i="4"/>
  <c r="P305" i="4"/>
  <c r="P306" i="4"/>
  <c r="P304" i="4"/>
  <c r="P302" i="4"/>
  <c r="P300" i="4"/>
  <c r="P298" i="4"/>
  <c r="P296" i="4"/>
  <c r="P294" i="4"/>
  <c r="P292" i="4"/>
  <c r="P290" i="4"/>
  <c r="P288" i="4"/>
  <c r="P286" i="4"/>
  <c r="P284" i="4"/>
  <c r="P282" i="4"/>
  <c r="P280" i="4"/>
  <c r="P278" i="4"/>
  <c r="P276" i="4"/>
  <c r="P274" i="4"/>
  <c r="P272" i="4"/>
  <c r="P270" i="4"/>
  <c r="P268" i="4"/>
  <c r="P266" i="4"/>
  <c r="P264" i="4"/>
  <c r="P262" i="4"/>
  <c r="P260" i="4"/>
  <c r="P258" i="4"/>
  <c r="P256" i="4"/>
  <c r="P254" i="4"/>
  <c r="P252" i="4"/>
  <c r="P250" i="4"/>
  <c r="P248" i="4"/>
  <c r="P246" i="4"/>
  <c r="P244" i="4"/>
  <c r="P242" i="4"/>
  <c r="P240" i="4"/>
  <c r="P238" i="4"/>
  <c r="P236" i="4"/>
  <c r="P234" i="4"/>
  <c r="P232" i="4"/>
  <c r="P230" i="4"/>
  <c r="P228" i="4"/>
  <c r="P226" i="4"/>
  <c r="P224" i="4"/>
  <c r="P222" i="4"/>
  <c r="P220" i="4"/>
  <c r="P218" i="4"/>
  <c r="P216" i="4"/>
  <c r="P214" i="4"/>
  <c r="P212" i="4"/>
  <c r="P210" i="4"/>
  <c r="P209" i="4"/>
  <c r="P303" i="4"/>
  <c r="P301" i="4"/>
  <c r="P299" i="4"/>
  <c r="P297" i="4"/>
  <c r="P295" i="4"/>
  <c r="P293" i="4"/>
  <c r="P291" i="4"/>
  <c r="P289" i="4"/>
  <c r="P287" i="4"/>
  <c r="P285" i="4"/>
  <c r="P283" i="4"/>
  <c r="P281" i="4"/>
  <c r="P279" i="4"/>
  <c r="P277" i="4"/>
  <c r="P275" i="4"/>
  <c r="P273" i="4"/>
  <c r="P271" i="4"/>
  <c r="P269" i="4"/>
  <c r="P267" i="4"/>
  <c r="P265" i="4"/>
  <c r="P263" i="4"/>
  <c r="P261" i="4"/>
  <c r="P259" i="4"/>
  <c r="P257" i="4"/>
  <c r="P255" i="4"/>
  <c r="P253" i="4"/>
  <c r="P251" i="4"/>
  <c r="P249" i="4"/>
  <c r="P247" i="4"/>
  <c r="P245" i="4"/>
  <c r="P243" i="4"/>
  <c r="P241" i="4"/>
  <c r="P239" i="4"/>
  <c r="P237" i="4"/>
  <c r="P235" i="4"/>
  <c r="P233" i="4"/>
  <c r="P231" i="4"/>
  <c r="P229" i="4"/>
  <c r="P227" i="4"/>
  <c r="P225" i="4"/>
  <c r="P223" i="4"/>
  <c r="P221" i="4"/>
  <c r="P219" i="4"/>
  <c r="P217" i="4"/>
  <c r="P215" i="4"/>
  <c r="P213" i="4"/>
  <c r="P211" i="4"/>
  <c r="P207" i="4"/>
  <c r="P157" i="4"/>
  <c r="P156" i="4"/>
  <c r="P205" i="4"/>
  <c r="P203" i="4"/>
  <c r="P201" i="4"/>
  <c r="P199" i="4"/>
  <c r="P197" i="4"/>
  <c r="P195" i="4"/>
  <c r="P193" i="4"/>
  <c r="P191" i="4"/>
  <c r="P189" i="4"/>
  <c r="P187" i="4"/>
  <c r="P185" i="4"/>
  <c r="P183" i="4"/>
  <c r="P181" i="4"/>
  <c r="P179" i="4"/>
  <c r="P177" i="4"/>
  <c r="P175" i="4"/>
  <c r="P173" i="4"/>
  <c r="P171" i="4"/>
  <c r="P169" i="4"/>
  <c r="P167" i="4"/>
  <c r="P165" i="4"/>
  <c r="P163" i="4"/>
  <c r="P161" i="4"/>
  <c r="P159" i="4"/>
  <c r="P208" i="4"/>
  <c r="P206" i="4"/>
  <c r="P204" i="4"/>
  <c r="P202" i="4"/>
  <c r="P200" i="4"/>
  <c r="P198" i="4"/>
  <c r="P196" i="4"/>
  <c r="P194" i="4"/>
  <c r="P192" i="4"/>
  <c r="P190" i="4"/>
  <c r="P188" i="4"/>
  <c r="P186" i="4"/>
  <c r="P184" i="4"/>
  <c r="P182" i="4"/>
  <c r="P180" i="4"/>
  <c r="P178" i="4"/>
  <c r="P176" i="4"/>
  <c r="P174" i="4"/>
  <c r="P172" i="4"/>
  <c r="P170" i="4"/>
  <c r="P168" i="4"/>
  <c r="P166" i="4"/>
  <c r="P164" i="4"/>
  <c r="P162" i="4"/>
  <c r="P160" i="4"/>
  <c r="P158" i="4"/>
  <c r="P155" i="4"/>
  <c r="P109" i="4"/>
  <c r="P108" i="4"/>
  <c r="P154" i="4"/>
  <c r="P152" i="4"/>
  <c r="P150" i="4"/>
  <c r="P148" i="4"/>
  <c r="P146" i="4"/>
  <c r="P144" i="4"/>
  <c r="P142" i="4"/>
  <c r="P140" i="4"/>
  <c r="P138" i="4"/>
  <c r="P136" i="4"/>
  <c r="P134" i="4"/>
  <c r="P132" i="4"/>
  <c r="P130" i="4"/>
  <c r="P128" i="4"/>
  <c r="P126" i="4"/>
  <c r="P124" i="4"/>
  <c r="P122" i="4"/>
  <c r="P120" i="4"/>
  <c r="P118" i="4"/>
  <c r="P116" i="4"/>
  <c r="P114" i="4"/>
  <c r="P112" i="4"/>
  <c r="P110" i="4"/>
  <c r="P105" i="4"/>
  <c r="P153" i="4"/>
  <c r="P151" i="4"/>
  <c r="P149" i="4"/>
  <c r="P147" i="4"/>
  <c r="P145" i="4"/>
  <c r="P143" i="4"/>
  <c r="P141" i="4"/>
  <c r="P139" i="4"/>
  <c r="P137" i="4"/>
  <c r="P135" i="4"/>
  <c r="P133" i="4"/>
  <c r="P131" i="4"/>
  <c r="P129" i="4"/>
  <c r="P127" i="4"/>
  <c r="P125" i="4"/>
  <c r="P123" i="4"/>
  <c r="P121" i="4"/>
  <c r="P119" i="4"/>
  <c r="P117" i="4"/>
  <c r="P115" i="4"/>
  <c r="P113" i="4"/>
  <c r="P111" i="4"/>
  <c r="P107" i="4"/>
  <c r="P103" i="4"/>
  <c r="P101" i="4"/>
  <c r="P99" i="4"/>
  <c r="P97" i="4"/>
  <c r="P95" i="4"/>
  <c r="P93" i="4"/>
  <c r="P91" i="4"/>
  <c r="P89" i="4"/>
  <c r="P87" i="4"/>
  <c r="P85" i="4"/>
  <c r="P83" i="4"/>
  <c r="P81" i="4"/>
  <c r="P79" i="4"/>
  <c r="P77" i="4"/>
  <c r="P75" i="4"/>
  <c r="P73" i="4"/>
  <c r="P71" i="4"/>
  <c r="P69" i="4"/>
  <c r="P67" i="4"/>
  <c r="P65" i="4"/>
  <c r="P63" i="4"/>
  <c r="P61" i="4"/>
  <c r="P59" i="4"/>
  <c r="P106" i="4"/>
  <c r="P104" i="4"/>
  <c r="P102" i="4"/>
  <c r="P100" i="4"/>
  <c r="P98" i="4"/>
  <c r="P96" i="4"/>
  <c r="P94" i="4"/>
  <c r="P92" i="4"/>
  <c r="P90" i="4"/>
  <c r="P88" i="4"/>
  <c r="P86" i="4"/>
  <c r="P84" i="4"/>
  <c r="P82" i="4"/>
  <c r="P80" i="4"/>
  <c r="P78" i="4"/>
  <c r="P76" i="4"/>
  <c r="P74" i="4"/>
  <c r="P72" i="4"/>
  <c r="P70" i="4"/>
  <c r="P68" i="4"/>
  <c r="P66" i="4"/>
  <c r="P64" i="4"/>
  <c r="P62" i="4"/>
  <c r="P57" i="4"/>
  <c r="P55" i="4"/>
  <c r="P53" i="4"/>
  <c r="P51" i="4"/>
  <c r="P49" i="4"/>
  <c r="P47" i="4"/>
  <c r="P45" i="4"/>
  <c r="P43" i="4"/>
  <c r="P41" i="4"/>
  <c r="P39" i="4"/>
  <c r="P37" i="4"/>
  <c r="P35" i="4"/>
  <c r="P33" i="4"/>
  <c r="P31" i="4"/>
  <c r="P29" i="4"/>
  <c r="P27" i="4"/>
  <c r="P25" i="4"/>
  <c r="P23" i="4"/>
  <c r="P21" i="4"/>
  <c r="P19" i="4"/>
  <c r="P17" i="4"/>
  <c r="P15" i="4"/>
  <c r="P13" i="4"/>
  <c r="P11" i="4"/>
  <c r="P60" i="4"/>
  <c r="P58" i="4"/>
  <c r="P56" i="4"/>
  <c r="P54" i="4"/>
  <c r="P52" i="4"/>
  <c r="P50" i="4"/>
  <c r="P48" i="4"/>
  <c r="P46" i="4"/>
  <c r="P44" i="4"/>
  <c r="P42" i="4"/>
  <c r="P40" i="4"/>
  <c r="P38" i="4"/>
  <c r="P36" i="4"/>
  <c r="P34" i="4"/>
  <c r="P32" i="4"/>
  <c r="P30" i="4"/>
  <c r="P28" i="4"/>
  <c r="P26" i="4"/>
  <c r="P24" i="4"/>
  <c r="P22" i="4"/>
  <c r="P20" i="4"/>
  <c r="P18" i="4"/>
  <c r="P16" i="4"/>
  <c r="P14" i="4"/>
  <c r="P12" i="4"/>
  <c r="P10" i="4"/>
  <c r="A18" i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2" i="1"/>
  <c r="A18" i="4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A67" i="4" s="1"/>
  <c r="A68" i="4" s="1"/>
  <c r="A69" i="4" s="1"/>
  <c r="A70" i="4" s="1"/>
  <c r="A71" i="4" s="1"/>
  <c r="A72" i="4" s="1"/>
  <c r="A73" i="4" s="1"/>
  <c r="A74" i="4" s="1"/>
  <c r="A75" i="4" s="1"/>
  <c r="A76" i="4" s="1"/>
  <c r="A77" i="4" s="1"/>
  <c r="A78" i="4" s="1"/>
  <c r="A79" i="4" s="1"/>
  <c r="A80" i="4" s="1"/>
  <c r="A81" i="4" s="1"/>
  <c r="A82" i="4" s="1"/>
  <c r="A83" i="4" s="1"/>
  <c r="A84" i="4" s="1"/>
  <c r="A85" i="4" s="1"/>
  <c r="A86" i="4" s="1"/>
  <c r="A87" i="4" s="1"/>
  <c r="A88" i="4" s="1"/>
  <c r="A89" i="4" s="1"/>
  <c r="A90" i="4" s="1"/>
  <c r="A91" i="4" s="1"/>
  <c r="A92" i="4" s="1"/>
  <c r="A93" i="4" s="1"/>
  <c r="A94" i="4" s="1"/>
  <c r="A95" i="4" s="1"/>
  <c r="A96" i="4" s="1"/>
  <c r="A97" i="4" s="1"/>
  <c r="A98" i="4" s="1"/>
  <c r="A99" i="4" s="1"/>
  <c r="A100" i="4" s="1"/>
  <c r="A101" i="4" s="1"/>
  <c r="A102" i="4" s="1"/>
  <c r="A103" i="4" s="1"/>
  <c r="A104" i="4" s="1"/>
  <c r="A105" i="4" s="1"/>
  <c r="A106" i="4" s="1"/>
  <c r="A107" i="4" s="1"/>
  <c r="A108" i="4" s="1"/>
  <c r="A109" i="4" s="1"/>
  <c r="A110" i="4" s="1"/>
  <c r="A111" i="4" s="1"/>
  <c r="A112" i="4" s="1"/>
  <c r="A113" i="4" s="1"/>
  <c r="A114" i="4" s="1"/>
  <c r="A115" i="4" s="1"/>
  <c r="A116" i="4" s="1"/>
  <c r="A117" i="4" s="1"/>
  <c r="A118" i="4" s="1"/>
  <c r="A119" i="4" s="1"/>
  <c r="A120" i="4" s="1"/>
  <c r="A121" i="4" s="1"/>
  <c r="A122" i="4" s="1"/>
  <c r="A123" i="4" s="1"/>
  <c r="A124" i="4" s="1"/>
  <c r="A125" i="4" s="1"/>
  <c r="A126" i="4" s="1"/>
  <c r="A127" i="4" s="1"/>
  <c r="A128" i="4" s="1"/>
  <c r="A129" i="4" s="1"/>
  <c r="A130" i="4" s="1"/>
  <c r="A131" i="4" s="1"/>
  <c r="A132" i="4" s="1"/>
  <c r="A133" i="4" s="1"/>
  <c r="A134" i="4" s="1"/>
  <c r="A135" i="4" s="1"/>
  <c r="A136" i="4" s="1"/>
  <c r="A137" i="4" s="1"/>
  <c r="A138" i="4" s="1"/>
  <c r="A139" i="4" s="1"/>
  <c r="A140" i="4" s="1"/>
  <c r="A141" i="4" s="1"/>
  <c r="A142" i="4" s="1"/>
  <c r="A143" i="4" s="1"/>
  <c r="A144" i="4" s="1"/>
  <c r="A145" i="4" s="1"/>
  <c r="A146" i="4" s="1"/>
  <c r="A147" i="4" s="1"/>
  <c r="A148" i="4" s="1"/>
  <c r="A149" i="4" s="1"/>
  <c r="A150" i="4" s="1"/>
  <c r="A151" i="4" s="1"/>
  <c r="A152" i="4" s="1"/>
  <c r="A153" i="4" s="1"/>
  <c r="A154" i="4" s="1"/>
  <c r="A155" i="4" s="1"/>
  <c r="A156" i="4" s="1"/>
  <c r="A157" i="4" s="1"/>
  <c r="A158" i="4" s="1"/>
  <c r="A159" i="4" s="1"/>
  <c r="A160" i="4" s="1"/>
  <c r="A161" i="4" s="1"/>
  <c r="A162" i="4" s="1"/>
  <c r="A163" i="4" s="1"/>
  <c r="A164" i="4" s="1"/>
  <c r="A165" i="4" s="1"/>
  <c r="A166" i="4" s="1"/>
  <c r="A167" i="4" s="1"/>
  <c r="A168" i="4" s="1"/>
  <c r="A169" i="4" s="1"/>
  <c r="A170" i="4" s="1"/>
  <c r="A171" i="4" s="1"/>
  <c r="A172" i="4" s="1"/>
  <c r="A173" i="4" s="1"/>
  <c r="A174" i="4" s="1"/>
  <c r="A175" i="4" s="1"/>
  <c r="A176" i="4" s="1"/>
  <c r="A177" i="4" s="1"/>
  <c r="A178" i="4" s="1"/>
  <c r="A179" i="4" s="1"/>
  <c r="A180" i="4" s="1"/>
  <c r="A181" i="4" s="1"/>
  <c r="A182" i="4" s="1"/>
  <c r="A183" i="4" s="1"/>
  <c r="A184" i="4" s="1"/>
  <c r="A185" i="4" s="1"/>
  <c r="A186" i="4" s="1"/>
  <c r="A187" i="4" s="1"/>
  <c r="A188" i="4" s="1"/>
  <c r="A189" i="4" s="1"/>
  <c r="A190" i="4" s="1"/>
  <c r="A191" i="4" s="1"/>
  <c r="A192" i="4" s="1"/>
  <c r="A193" i="4" s="1"/>
  <c r="A194" i="4" s="1"/>
  <c r="A195" i="4" s="1"/>
  <c r="A196" i="4" s="1"/>
  <c r="A197" i="4" s="1"/>
  <c r="A198" i="4" s="1"/>
  <c r="A199" i="4" s="1"/>
  <c r="A200" i="4" s="1"/>
  <c r="A201" i="4" s="1"/>
  <c r="A202" i="4" s="1"/>
  <c r="A203" i="4" s="1"/>
  <c r="A204" i="4" s="1"/>
  <c r="A205" i="4" s="1"/>
  <c r="A206" i="4" s="1"/>
  <c r="A207" i="4" s="1"/>
  <c r="A208" i="4" s="1"/>
  <c r="A209" i="4" s="1"/>
  <c r="A210" i="4" s="1"/>
  <c r="A211" i="4" s="1"/>
  <c r="A212" i="4" s="1"/>
  <c r="A213" i="4" s="1"/>
  <c r="A214" i="4" s="1"/>
  <c r="A215" i="4" s="1"/>
  <c r="A216" i="4" s="1"/>
  <c r="A217" i="4" s="1"/>
  <c r="A218" i="4" s="1"/>
  <c r="A219" i="4" s="1"/>
  <c r="A220" i="4" s="1"/>
  <c r="A221" i="4" s="1"/>
  <c r="A222" i="4" s="1"/>
  <c r="A223" i="4" s="1"/>
  <c r="A224" i="4" s="1"/>
  <c r="A225" i="4" s="1"/>
  <c r="A226" i="4" s="1"/>
  <c r="A227" i="4" s="1"/>
  <c r="A228" i="4" s="1"/>
  <c r="A229" i="4" s="1"/>
  <c r="A230" i="4" s="1"/>
  <c r="A231" i="4" s="1"/>
  <c r="A232" i="4" s="1"/>
  <c r="A233" i="4" s="1"/>
  <c r="A234" i="4" s="1"/>
  <c r="A235" i="4" s="1"/>
  <c r="A236" i="4" s="1"/>
  <c r="A237" i="4" s="1"/>
  <c r="A238" i="4" s="1"/>
  <c r="A239" i="4" s="1"/>
  <c r="A240" i="4" s="1"/>
  <c r="A241" i="4" s="1"/>
  <c r="A242" i="4" s="1"/>
  <c r="A243" i="4" s="1"/>
  <c r="A244" i="4" s="1"/>
  <c r="A245" i="4" s="1"/>
  <c r="A246" i="4" s="1"/>
  <c r="A247" i="4" s="1"/>
  <c r="A248" i="4" s="1"/>
  <c r="A249" i="4" s="1"/>
  <c r="A250" i="4" s="1"/>
  <c r="A251" i="4" s="1"/>
  <c r="A252" i="4" s="1"/>
  <c r="A253" i="4" s="1"/>
  <c r="A254" i="4" s="1"/>
  <c r="A255" i="4" s="1"/>
  <c r="A256" i="4" s="1"/>
  <c r="A257" i="4" s="1"/>
  <c r="A258" i="4" s="1"/>
  <c r="A259" i="4" s="1"/>
  <c r="A260" i="4" s="1"/>
  <c r="A261" i="4" s="1"/>
  <c r="A262" i="4" s="1"/>
  <c r="A263" i="4" s="1"/>
  <c r="A264" i="4" s="1"/>
  <c r="A265" i="4" s="1"/>
  <c r="A266" i="4" s="1"/>
  <c r="A267" i="4" s="1"/>
  <c r="A268" i="4" s="1"/>
  <c r="A269" i="4" s="1"/>
  <c r="A270" i="4" s="1"/>
  <c r="A271" i="4" s="1"/>
  <c r="A272" i="4" s="1"/>
  <c r="A273" i="4" s="1"/>
  <c r="A274" i="4" s="1"/>
  <c r="A275" i="4" s="1"/>
  <c r="A276" i="4" s="1"/>
  <c r="A277" i="4" s="1"/>
  <c r="A278" i="4" s="1"/>
  <c r="A279" i="4" s="1"/>
  <c r="A280" i="4" s="1"/>
  <c r="A281" i="4" s="1"/>
  <c r="A282" i="4" s="1"/>
  <c r="A283" i="4" s="1"/>
  <c r="A284" i="4" s="1"/>
  <c r="A285" i="4" s="1"/>
  <c r="A286" i="4" s="1"/>
  <c r="A287" i="4" s="1"/>
  <c r="A288" i="4" s="1"/>
  <c r="A289" i="4" s="1"/>
  <c r="A290" i="4" s="1"/>
  <c r="A291" i="4" s="1"/>
  <c r="A292" i="4" s="1"/>
  <c r="A293" i="4" s="1"/>
  <c r="A294" i="4" s="1"/>
  <c r="A295" i="4" s="1"/>
  <c r="A296" i="4" s="1"/>
  <c r="A297" i="4" s="1"/>
  <c r="A298" i="4" s="1"/>
  <c r="A299" i="4" s="1"/>
  <c r="A300" i="4" s="1"/>
  <c r="A301" i="4" s="1"/>
  <c r="A302" i="4" s="1"/>
  <c r="A303" i="4" s="1"/>
  <c r="A304" i="4" s="1"/>
  <c r="A305" i="4" s="1"/>
  <c r="A306" i="4" s="1"/>
  <c r="L306" i="4"/>
  <c r="I306" i="4" s="1"/>
  <c r="L305" i="4"/>
  <c r="I305" i="4" s="1"/>
  <c r="L304" i="4"/>
  <c r="I304" i="4" s="1"/>
  <c r="L303" i="4"/>
  <c r="I303" i="4" s="1"/>
  <c r="L302" i="4"/>
  <c r="I302" i="4" s="1"/>
  <c r="L301" i="4"/>
  <c r="I301" i="4" s="1"/>
  <c r="L300" i="4"/>
  <c r="I300" i="4" s="1"/>
  <c r="L299" i="4"/>
  <c r="I299" i="4" s="1"/>
  <c r="L298" i="4"/>
  <c r="I298" i="4" s="1"/>
  <c r="L297" i="4"/>
  <c r="I297" i="4" s="1"/>
  <c r="L296" i="4"/>
  <c r="I296" i="4" s="1"/>
  <c r="L295" i="4"/>
  <c r="I295" i="4" s="1"/>
  <c r="L294" i="4"/>
  <c r="I294" i="4" s="1"/>
  <c r="L293" i="4"/>
  <c r="I293" i="4" s="1"/>
  <c r="L292" i="4"/>
  <c r="I292" i="4" s="1"/>
  <c r="L291" i="4"/>
  <c r="I291" i="4" s="1"/>
  <c r="L290" i="4"/>
  <c r="I290" i="4" s="1"/>
  <c r="L289" i="4"/>
  <c r="I289" i="4" s="1"/>
  <c r="L288" i="4"/>
  <c r="I288" i="4" s="1"/>
  <c r="L287" i="4"/>
  <c r="I287" i="4" s="1"/>
  <c r="L286" i="4"/>
  <c r="I286" i="4" s="1"/>
  <c r="L285" i="4"/>
  <c r="I285" i="4" s="1"/>
  <c r="L284" i="4"/>
  <c r="I284" i="4" s="1"/>
  <c r="L283" i="4"/>
  <c r="I283" i="4" s="1"/>
  <c r="L282" i="4"/>
  <c r="I282" i="4" s="1"/>
  <c r="L281" i="4"/>
  <c r="I281" i="4" s="1"/>
  <c r="L280" i="4"/>
  <c r="I280" i="4" s="1"/>
  <c r="L279" i="4"/>
  <c r="I279" i="4" s="1"/>
  <c r="L278" i="4"/>
  <c r="I278" i="4" s="1"/>
  <c r="L277" i="4"/>
  <c r="I277" i="4" s="1"/>
  <c r="L276" i="4"/>
  <c r="I276" i="4" s="1"/>
  <c r="L275" i="4"/>
  <c r="I275" i="4" s="1"/>
  <c r="L274" i="4"/>
  <c r="I274" i="4" s="1"/>
  <c r="L273" i="4"/>
  <c r="I273" i="4" s="1"/>
  <c r="L272" i="4"/>
  <c r="I272" i="4" s="1"/>
  <c r="L271" i="4"/>
  <c r="I271" i="4" s="1"/>
  <c r="L270" i="4"/>
  <c r="I270" i="4" s="1"/>
  <c r="L269" i="4"/>
  <c r="I269" i="4" s="1"/>
  <c r="L268" i="4"/>
  <c r="I268" i="4" s="1"/>
  <c r="L267" i="4"/>
  <c r="I267" i="4" s="1"/>
  <c r="L266" i="4"/>
  <c r="I266" i="4" s="1"/>
  <c r="L265" i="4"/>
  <c r="I265" i="4" s="1"/>
  <c r="L264" i="4"/>
  <c r="I264" i="4" s="1"/>
  <c r="L263" i="4"/>
  <c r="I263" i="4" s="1"/>
  <c r="L262" i="4"/>
  <c r="I262" i="4" s="1"/>
  <c r="L261" i="4"/>
  <c r="I261" i="4" s="1"/>
  <c r="L260" i="4"/>
  <c r="I260" i="4" s="1"/>
  <c r="L259" i="4"/>
  <c r="I259" i="4" s="1"/>
  <c r="L258" i="4"/>
  <c r="I258" i="4" s="1"/>
  <c r="L257" i="4"/>
  <c r="I257" i="4" s="1"/>
  <c r="L256" i="4"/>
  <c r="I256" i="4" s="1"/>
  <c r="L255" i="4"/>
  <c r="I255" i="4" s="1"/>
  <c r="L254" i="4"/>
  <c r="I254" i="4" s="1"/>
  <c r="L253" i="4"/>
  <c r="I253" i="4" s="1"/>
  <c r="L252" i="4"/>
  <c r="I252" i="4" s="1"/>
  <c r="L251" i="4"/>
  <c r="I251" i="4" s="1"/>
  <c r="L250" i="4"/>
  <c r="I250" i="4" s="1"/>
  <c r="L249" i="4"/>
  <c r="I249" i="4" s="1"/>
  <c r="L248" i="4"/>
  <c r="I248" i="4" s="1"/>
  <c r="L247" i="4"/>
  <c r="I247" i="4" s="1"/>
  <c r="L246" i="4"/>
  <c r="I246" i="4" s="1"/>
  <c r="L245" i="4"/>
  <c r="I245" i="4" s="1"/>
  <c r="L244" i="4"/>
  <c r="I244" i="4" s="1"/>
  <c r="L243" i="4"/>
  <c r="I243" i="4" s="1"/>
  <c r="L242" i="4"/>
  <c r="I242" i="4" s="1"/>
  <c r="L241" i="4"/>
  <c r="I241" i="4" s="1"/>
  <c r="L240" i="4"/>
  <c r="I240" i="4" s="1"/>
  <c r="L239" i="4"/>
  <c r="I239" i="4" s="1"/>
  <c r="L238" i="4"/>
  <c r="I238" i="4" s="1"/>
  <c r="L237" i="4"/>
  <c r="I237" i="4" s="1"/>
  <c r="L236" i="4"/>
  <c r="I236" i="4" s="1"/>
  <c r="L235" i="4"/>
  <c r="I235" i="4" s="1"/>
  <c r="L234" i="4"/>
  <c r="I234" i="4" s="1"/>
  <c r="L233" i="4"/>
  <c r="I233" i="4" s="1"/>
  <c r="L232" i="4"/>
  <c r="I232" i="4" s="1"/>
  <c r="L231" i="4"/>
  <c r="I231" i="4" s="1"/>
  <c r="L230" i="4"/>
  <c r="I230" i="4" s="1"/>
  <c r="L229" i="4"/>
  <c r="I229" i="4" s="1"/>
  <c r="L228" i="4"/>
  <c r="I228" i="4" s="1"/>
  <c r="L227" i="4"/>
  <c r="I227" i="4" s="1"/>
  <c r="L226" i="4"/>
  <c r="I226" i="4" s="1"/>
  <c r="L225" i="4"/>
  <c r="I225" i="4" s="1"/>
  <c r="L224" i="4"/>
  <c r="I224" i="4" s="1"/>
  <c r="L223" i="4"/>
  <c r="I223" i="4" s="1"/>
  <c r="L222" i="4"/>
  <c r="I222" i="4" s="1"/>
  <c r="L221" i="4"/>
  <c r="I221" i="4" s="1"/>
  <c r="L220" i="4"/>
  <c r="I220" i="4" s="1"/>
  <c r="L219" i="4"/>
  <c r="I219" i="4" s="1"/>
  <c r="L218" i="4"/>
  <c r="I218" i="4" s="1"/>
  <c r="L217" i="4"/>
  <c r="I217" i="4" s="1"/>
  <c r="L216" i="4"/>
  <c r="I216" i="4" s="1"/>
  <c r="L215" i="4"/>
  <c r="I215" i="4" s="1"/>
  <c r="L214" i="4"/>
  <c r="I214" i="4" s="1"/>
  <c r="L213" i="4"/>
  <c r="I213" i="4" s="1"/>
  <c r="L212" i="4"/>
  <c r="I212" i="4" s="1"/>
  <c r="L211" i="4"/>
  <c r="I211" i="4" s="1"/>
  <c r="L210" i="4"/>
  <c r="I210" i="4" s="1"/>
  <c r="L209" i="4"/>
  <c r="I209" i="4" s="1"/>
  <c r="L208" i="4"/>
  <c r="I208" i="4" s="1"/>
  <c r="L207" i="4"/>
  <c r="I207" i="4" s="1"/>
  <c r="L206" i="4"/>
  <c r="I206" i="4" s="1"/>
  <c r="L205" i="4"/>
  <c r="I205" i="4" s="1"/>
  <c r="L204" i="4"/>
  <c r="I204" i="4" s="1"/>
  <c r="L203" i="4"/>
  <c r="I203" i="4" s="1"/>
  <c r="L202" i="4"/>
  <c r="I202" i="4" s="1"/>
  <c r="L201" i="4"/>
  <c r="I201" i="4" s="1"/>
  <c r="L200" i="4"/>
  <c r="I200" i="4" s="1"/>
  <c r="L199" i="4"/>
  <c r="I199" i="4" s="1"/>
  <c r="L198" i="4"/>
  <c r="I198" i="4" s="1"/>
  <c r="L197" i="4"/>
  <c r="I197" i="4" s="1"/>
  <c r="L196" i="4"/>
  <c r="I196" i="4" s="1"/>
  <c r="L195" i="4"/>
  <c r="I195" i="4" s="1"/>
  <c r="L194" i="4"/>
  <c r="I194" i="4" s="1"/>
  <c r="L193" i="4"/>
  <c r="I193" i="4" s="1"/>
  <c r="L192" i="4"/>
  <c r="I192" i="4" s="1"/>
  <c r="L191" i="4"/>
  <c r="I191" i="4" s="1"/>
  <c r="L190" i="4"/>
  <c r="I190" i="4" s="1"/>
  <c r="L189" i="4"/>
  <c r="I189" i="4" s="1"/>
  <c r="L188" i="4"/>
  <c r="I188" i="4" s="1"/>
  <c r="L187" i="4"/>
  <c r="I187" i="4" s="1"/>
  <c r="L186" i="4"/>
  <c r="I186" i="4" s="1"/>
  <c r="L185" i="4"/>
  <c r="I185" i="4" s="1"/>
  <c r="L184" i="4"/>
  <c r="I184" i="4" s="1"/>
  <c r="L183" i="4"/>
  <c r="I183" i="4" s="1"/>
  <c r="L182" i="4"/>
  <c r="I182" i="4" s="1"/>
  <c r="L181" i="4"/>
  <c r="I181" i="4" s="1"/>
  <c r="L180" i="4"/>
  <c r="I180" i="4" s="1"/>
  <c r="L179" i="4"/>
  <c r="I179" i="4" s="1"/>
  <c r="L178" i="4"/>
  <c r="I178" i="4" s="1"/>
  <c r="L177" i="4"/>
  <c r="I177" i="4" s="1"/>
  <c r="L176" i="4"/>
  <c r="I176" i="4" s="1"/>
  <c r="L175" i="4"/>
  <c r="I175" i="4" s="1"/>
  <c r="L174" i="4"/>
  <c r="I174" i="4" s="1"/>
  <c r="L173" i="4"/>
  <c r="I173" i="4" s="1"/>
  <c r="L172" i="4"/>
  <c r="I172" i="4" s="1"/>
  <c r="L171" i="4"/>
  <c r="I171" i="4" s="1"/>
  <c r="L170" i="4"/>
  <c r="I170" i="4" s="1"/>
  <c r="L169" i="4"/>
  <c r="I169" i="4" s="1"/>
  <c r="L168" i="4"/>
  <c r="I168" i="4" s="1"/>
  <c r="L167" i="4"/>
  <c r="I167" i="4" s="1"/>
  <c r="L166" i="4"/>
  <c r="I166" i="4" s="1"/>
  <c r="L165" i="4"/>
  <c r="I165" i="4" s="1"/>
  <c r="L164" i="4"/>
  <c r="I164" i="4" s="1"/>
  <c r="L163" i="4"/>
  <c r="I163" i="4" s="1"/>
  <c r="L162" i="4"/>
  <c r="I162" i="4" s="1"/>
  <c r="L161" i="4"/>
  <c r="I161" i="4" s="1"/>
  <c r="L160" i="4"/>
  <c r="I160" i="4" s="1"/>
  <c r="L159" i="4"/>
  <c r="I159" i="4" s="1"/>
  <c r="L158" i="4"/>
  <c r="I158" i="4" s="1"/>
  <c r="L157" i="4"/>
  <c r="I157" i="4" s="1"/>
  <c r="L156" i="4"/>
  <c r="I156" i="4" s="1"/>
  <c r="L155" i="4"/>
  <c r="I155" i="4" s="1"/>
  <c r="L154" i="4"/>
  <c r="I154" i="4" s="1"/>
  <c r="L153" i="4"/>
  <c r="I153" i="4" s="1"/>
  <c r="L152" i="4"/>
  <c r="I152" i="4" s="1"/>
  <c r="L151" i="4"/>
  <c r="I151" i="4" s="1"/>
  <c r="L150" i="4"/>
  <c r="I150" i="4" s="1"/>
  <c r="L149" i="4"/>
  <c r="I149" i="4" s="1"/>
  <c r="L148" i="4"/>
  <c r="I148" i="4" s="1"/>
  <c r="L147" i="4"/>
  <c r="I147" i="4" s="1"/>
  <c r="L146" i="4"/>
  <c r="I146" i="4" s="1"/>
  <c r="L145" i="4"/>
  <c r="I145" i="4" s="1"/>
  <c r="L144" i="4"/>
  <c r="I144" i="4" s="1"/>
  <c r="L143" i="4"/>
  <c r="I143" i="4" s="1"/>
  <c r="L142" i="4"/>
  <c r="I142" i="4" s="1"/>
  <c r="L141" i="4"/>
  <c r="I141" i="4" s="1"/>
  <c r="L140" i="4"/>
  <c r="I140" i="4" s="1"/>
  <c r="L139" i="4"/>
  <c r="I139" i="4" s="1"/>
  <c r="L138" i="4"/>
  <c r="I138" i="4" s="1"/>
  <c r="L137" i="4"/>
  <c r="I137" i="4" s="1"/>
  <c r="L136" i="4"/>
  <c r="I136" i="4" s="1"/>
  <c r="L135" i="4"/>
  <c r="I135" i="4" s="1"/>
  <c r="L134" i="4"/>
  <c r="I134" i="4" s="1"/>
  <c r="L133" i="4"/>
  <c r="I133" i="4" s="1"/>
  <c r="L132" i="4"/>
  <c r="I132" i="4" s="1"/>
  <c r="L131" i="4"/>
  <c r="I131" i="4" s="1"/>
  <c r="L130" i="4"/>
  <c r="I130" i="4" s="1"/>
  <c r="L129" i="4"/>
  <c r="I129" i="4" s="1"/>
  <c r="L128" i="4"/>
  <c r="I128" i="4" s="1"/>
  <c r="L127" i="4"/>
  <c r="I127" i="4" s="1"/>
  <c r="L126" i="4"/>
  <c r="I126" i="4" s="1"/>
  <c r="L125" i="4"/>
  <c r="I125" i="4" s="1"/>
  <c r="L124" i="4"/>
  <c r="I124" i="4" s="1"/>
  <c r="L123" i="4"/>
  <c r="I123" i="4" s="1"/>
  <c r="L122" i="4"/>
  <c r="I122" i="4" s="1"/>
  <c r="L121" i="4"/>
  <c r="I121" i="4" s="1"/>
  <c r="L120" i="4"/>
  <c r="I120" i="4" s="1"/>
  <c r="L119" i="4"/>
  <c r="I119" i="4" s="1"/>
  <c r="L118" i="4"/>
  <c r="I118" i="4" s="1"/>
  <c r="L117" i="4"/>
  <c r="I117" i="4" s="1"/>
  <c r="L116" i="4"/>
  <c r="I116" i="4" s="1"/>
  <c r="L115" i="4"/>
  <c r="I115" i="4" s="1"/>
  <c r="L114" i="4"/>
  <c r="I114" i="4" s="1"/>
  <c r="L113" i="4"/>
  <c r="I113" i="4" s="1"/>
  <c r="L112" i="4"/>
  <c r="I112" i="4" s="1"/>
  <c r="L111" i="4"/>
  <c r="I111" i="4" s="1"/>
  <c r="L110" i="4"/>
  <c r="I110" i="4" s="1"/>
  <c r="L109" i="4"/>
  <c r="I109" i="4" s="1"/>
  <c r="L108" i="4"/>
  <c r="I108" i="4" s="1"/>
  <c r="L107" i="4"/>
  <c r="I107" i="4" s="1"/>
  <c r="L106" i="4"/>
  <c r="I106" i="4" s="1"/>
  <c r="L105" i="4"/>
  <c r="I105" i="4" s="1"/>
  <c r="L104" i="4"/>
  <c r="I104" i="4" s="1"/>
  <c r="L103" i="4"/>
  <c r="I103" i="4" s="1"/>
  <c r="L102" i="4"/>
  <c r="I102" i="4" s="1"/>
  <c r="L101" i="4"/>
  <c r="I101" i="4" s="1"/>
  <c r="L100" i="4"/>
  <c r="I100" i="4" s="1"/>
  <c r="L99" i="4"/>
  <c r="I99" i="4" s="1"/>
  <c r="L98" i="4"/>
  <c r="I98" i="4" s="1"/>
  <c r="L97" i="4"/>
  <c r="I97" i="4" s="1"/>
  <c r="L96" i="4"/>
  <c r="I96" i="4" s="1"/>
  <c r="L95" i="4"/>
  <c r="I95" i="4" s="1"/>
  <c r="L94" i="4"/>
  <c r="I94" i="4" s="1"/>
  <c r="L93" i="4"/>
  <c r="I93" i="4" s="1"/>
  <c r="L92" i="4"/>
  <c r="I92" i="4" s="1"/>
  <c r="L91" i="4"/>
  <c r="I91" i="4" s="1"/>
  <c r="L90" i="4"/>
  <c r="I90" i="4" s="1"/>
  <c r="L89" i="4"/>
  <c r="I89" i="4" s="1"/>
  <c r="L88" i="4"/>
  <c r="I88" i="4" s="1"/>
  <c r="L87" i="4"/>
  <c r="I87" i="4" s="1"/>
  <c r="L86" i="4"/>
  <c r="I86" i="4" s="1"/>
  <c r="L85" i="4"/>
  <c r="I85" i="4" s="1"/>
  <c r="L84" i="4"/>
  <c r="I84" i="4" s="1"/>
  <c r="L83" i="4"/>
  <c r="I83" i="4" s="1"/>
  <c r="L82" i="4"/>
  <c r="I82" i="4" s="1"/>
  <c r="L81" i="4"/>
  <c r="I81" i="4" s="1"/>
  <c r="L80" i="4"/>
  <c r="I80" i="4" s="1"/>
  <c r="L79" i="4"/>
  <c r="I79" i="4" s="1"/>
  <c r="L78" i="4"/>
  <c r="I78" i="4" s="1"/>
  <c r="L77" i="4"/>
  <c r="I77" i="4" s="1"/>
  <c r="L76" i="4"/>
  <c r="I76" i="4" s="1"/>
  <c r="L75" i="4"/>
  <c r="I75" i="4" s="1"/>
  <c r="L74" i="4"/>
  <c r="I74" i="4" s="1"/>
  <c r="L73" i="4"/>
  <c r="I73" i="4" s="1"/>
  <c r="L72" i="4"/>
  <c r="I72" i="4" s="1"/>
  <c r="L71" i="4"/>
  <c r="I71" i="4" s="1"/>
  <c r="L70" i="4"/>
  <c r="I70" i="4" s="1"/>
  <c r="L69" i="4"/>
  <c r="I69" i="4" s="1"/>
  <c r="L68" i="4"/>
  <c r="I68" i="4" s="1"/>
  <c r="L67" i="4"/>
  <c r="I67" i="4" s="1"/>
  <c r="L66" i="4"/>
  <c r="I66" i="4" s="1"/>
  <c r="L65" i="4"/>
  <c r="I65" i="4" s="1"/>
  <c r="L64" i="4"/>
  <c r="I64" i="4" s="1"/>
  <c r="L63" i="4"/>
  <c r="I63" i="4" s="1"/>
  <c r="L62" i="4"/>
  <c r="I62" i="4" s="1"/>
  <c r="L61" i="4"/>
  <c r="I61" i="4" s="1"/>
  <c r="L60" i="4"/>
  <c r="I60" i="4" s="1"/>
  <c r="L59" i="4"/>
  <c r="I59" i="4" s="1"/>
  <c r="L58" i="4"/>
  <c r="I58" i="4" s="1"/>
  <c r="L57" i="4"/>
  <c r="I57" i="4" s="1"/>
  <c r="L56" i="4"/>
  <c r="I56" i="4" s="1"/>
  <c r="L55" i="4"/>
  <c r="I55" i="4" s="1"/>
  <c r="L54" i="4"/>
  <c r="I54" i="4" s="1"/>
  <c r="L53" i="4"/>
  <c r="I53" i="4" s="1"/>
  <c r="L52" i="4"/>
  <c r="I52" i="4" s="1"/>
  <c r="L51" i="4"/>
  <c r="I51" i="4" s="1"/>
  <c r="L50" i="4"/>
  <c r="I50" i="4" s="1"/>
  <c r="L49" i="4"/>
  <c r="I49" i="4" s="1"/>
  <c r="L48" i="4"/>
  <c r="I48" i="4" s="1"/>
  <c r="L47" i="4"/>
  <c r="I47" i="4" s="1"/>
  <c r="L46" i="4"/>
  <c r="I46" i="4" s="1"/>
  <c r="L45" i="4"/>
  <c r="I45" i="4" s="1"/>
  <c r="L44" i="4"/>
  <c r="I44" i="4" s="1"/>
  <c r="L43" i="4"/>
  <c r="I43" i="4" s="1"/>
  <c r="L42" i="4"/>
  <c r="I42" i="4" s="1"/>
  <c r="L41" i="4"/>
  <c r="I41" i="4" s="1"/>
  <c r="L40" i="4"/>
  <c r="I40" i="4" s="1"/>
  <c r="L39" i="4"/>
  <c r="I39" i="4" s="1"/>
  <c r="L38" i="4"/>
  <c r="I38" i="4" s="1"/>
  <c r="L37" i="4"/>
  <c r="I37" i="4" s="1"/>
  <c r="L36" i="4"/>
  <c r="I36" i="4" s="1"/>
  <c r="L35" i="4"/>
  <c r="I35" i="4" s="1"/>
  <c r="L34" i="4"/>
  <c r="I34" i="4" s="1"/>
  <c r="L33" i="4"/>
  <c r="I33" i="4" s="1"/>
  <c r="L32" i="4"/>
  <c r="I32" i="4" s="1"/>
  <c r="L31" i="4"/>
  <c r="I31" i="4" s="1"/>
  <c r="L30" i="4"/>
  <c r="I30" i="4" s="1"/>
  <c r="L29" i="4"/>
  <c r="I29" i="4" s="1"/>
  <c r="L28" i="4"/>
  <c r="I28" i="4" s="1"/>
  <c r="L27" i="4"/>
  <c r="I27" i="4" s="1"/>
  <c r="L26" i="4"/>
  <c r="I26" i="4" s="1"/>
  <c r="L25" i="4"/>
  <c r="I25" i="4" s="1"/>
  <c r="L24" i="4"/>
  <c r="I24" i="4" s="1"/>
  <c r="L23" i="4"/>
  <c r="I23" i="4" s="1"/>
  <c r="L22" i="4"/>
  <c r="I22" i="4" s="1"/>
  <c r="L21" i="4"/>
  <c r="I21" i="4" s="1"/>
  <c r="L20" i="4"/>
  <c r="I20" i="4" s="1"/>
  <c r="L19" i="4"/>
  <c r="I19" i="4" s="1"/>
  <c r="B306" i="4"/>
  <c r="C306" i="8"/>
  <c r="B302" i="4"/>
  <c r="C302" i="8"/>
  <c r="B298" i="4"/>
  <c r="C298" i="8"/>
  <c r="B294" i="4"/>
  <c r="C294" i="8"/>
  <c r="B290" i="4"/>
  <c r="C290" i="8"/>
  <c r="B286" i="4"/>
  <c r="C286" i="8"/>
  <c r="B282" i="4"/>
  <c r="C282" i="8"/>
  <c r="B278" i="4"/>
  <c r="C278" i="8"/>
  <c r="B274" i="4"/>
  <c r="C274" i="8"/>
  <c r="B270" i="4"/>
  <c r="C270" i="8"/>
  <c r="B266" i="4"/>
  <c r="C266" i="8"/>
  <c r="B262" i="4"/>
  <c r="C262" i="8"/>
  <c r="B258" i="4"/>
  <c r="C258" i="8"/>
  <c r="B254" i="4"/>
  <c r="C254" i="8"/>
  <c r="B250" i="4"/>
  <c r="C250" i="8"/>
  <c r="B246" i="4"/>
  <c r="C246" i="8"/>
  <c r="B242" i="4"/>
  <c r="C242" i="8"/>
  <c r="B238" i="4"/>
  <c r="C238" i="8"/>
  <c r="B234" i="4"/>
  <c r="C234" i="8"/>
  <c r="B230" i="4"/>
  <c r="C230" i="8"/>
  <c r="B226" i="4"/>
  <c r="C226" i="8"/>
  <c r="B222" i="4"/>
  <c r="C222" i="8"/>
  <c r="B218" i="4"/>
  <c r="C218" i="8"/>
  <c r="B214" i="4"/>
  <c r="C214" i="8"/>
  <c r="B210" i="4"/>
  <c r="C210" i="8"/>
  <c r="B206" i="4"/>
  <c r="C206" i="8"/>
  <c r="B202" i="4"/>
  <c r="C202" i="8"/>
  <c r="B198" i="4"/>
  <c r="C198" i="8"/>
  <c r="B194" i="4"/>
  <c r="C194" i="8"/>
  <c r="B190" i="4"/>
  <c r="C190" i="8"/>
  <c r="B186" i="4"/>
  <c r="C186" i="8"/>
  <c r="B182" i="4"/>
  <c r="C182" i="8"/>
  <c r="B178" i="4"/>
  <c r="C178" i="8"/>
  <c r="B174" i="4"/>
  <c r="C174" i="8"/>
  <c r="B170" i="4"/>
  <c r="C170" i="8"/>
  <c r="B166" i="4"/>
  <c r="C166" i="8"/>
  <c r="B162" i="4"/>
  <c r="C162" i="8"/>
  <c r="B158" i="4"/>
  <c r="C158" i="8"/>
  <c r="B154" i="4"/>
  <c r="C154" i="8"/>
  <c r="B150" i="4"/>
  <c r="C150" i="8"/>
  <c r="B146" i="4"/>
  <c r="C146" i="8"/>
  <c r="B142" i="4"/>
  <c r="C142" i="8"/>
  <c r="B138" i="4"/>
  <c r="C138" i="8"/>
  <c r="B134" i="4"/>
  <c r="C134" i="8"/>
  <c r="B130" i="4"/>
  <c r="C130" i="8"/>
  <c r="B126" i="4"/>
  <c r="C126" i="8"/>
  <c r="B122" i="4"/>
  <c r="C122" i="8"/>
  <c r="B118" i="4"/>
  <c r="C118" i="8"/>
  <c r="B114" i="4"/>
  <c r="C114" i="8"/>
  <c r="B110" i="4"/>
  <c r="C110" i="8"/>
  <c r="B106" i="4"/>
  <c r="C106" i="8"/>
  <c r="B102" i="4"/>
  <c r="C102" i="8"/>
  <c r="B98" i="4"/>
  <c r="C98" i="8"/>
  <c r="B94" i="4"/>
  <c r="C94" i="8"/>
  <c r="B90" i="4"/>
  <c r="C90" i="8"/>
  <c r="B86" i="4"/>
  <c r="C86" i="8"/>
  <c r="B82" i="4"/>
  <c r="C82" i="8"/>
  <c r="B78" i="4"/>
  <c r="C78" i="8"/>
  <c r="B74" i="4"/>
  <c r="C74" i="8"/>
  <c r="B70" i="4"/>
  <c r="C70" i="8"/>
  <c r="B66" i="4"/>
  <c r="C66" i="8"/>
  <c r="B62" i="4"/>
  <c r="C62" i="8"/>
  <c r="B58" i="4"/>
  <c r="C58" i="8"/>
  <c r="B54" i="4"/>
  <c r="C54" i="8"/>
  <c r="B50" i="4"/>
  <c r="C50" i="8"/>
  <c r="B46" i="4"/>
  <c r="C46" i="8"/>
  <c r="B42" i="4"/>
  <c r="C42" i="8"/>
  <c r="B38" i="4"/>
  <c r="C38" i="8"/>
  <c r="B34" i="4"/>
  <c r="C34" i="8"/>
  <c r="B30" i="4"/>
  <c r="C30" i="8"/>
  <c r="B26" i="4"/>
  <c r="C26" i="8"/>
  <c r="B22" i="4"/>
  <c r="C22" i="8"/>
  <c r="B125" i="4"/>
  <c r="C125" i="8"/>
  <c r="B121" i="4"/>
  <c r="C121" i="8"/>
  <c r="B113" i="4"/>
  <c r="C113" i="8"/>
  <c r="B109" i="4"/>
  <c r="C109" i="8"/>
  <c r="B105" i="4"/>
  <c r="C105" i="8"/>
  <c r="B97" i="4"/>
  <c r="C97" i="8"/>
  <c r="B89" i="4"/>
  <c r="C89" i="8"/>
  <c r="B85" i="4"/>
  <c r="C85" i="8"/>
  <c r="B77" i="4"/>
  <c r="C77" i="8"/>
  <c r="B69" i="4"/>
  <c r="C69" i="8"/>
  <c r="B61" i="4"/>
  <c r="C61" i="8"/>
  <c r="B53" i="4"/>
  <c r="C53" i="8"/>
  <c r="B37" i="4"/>
  <c r="C37" i="8"/>
  <c r="B25" i="4"/>
  <c r="C25" i="8"/>
  <c r="B305" i="4"/>
  <c r="C305" i="8"/>
  <c r="B301" i="4"/>
  <c r="C301" i="8"/>
  <c r="B297" i="4"/>
  <c r="C297" i="8"/>
  <c r="B293" i="4"/>
  <c r="C293" i="8"/>
  <c r="B289" i="4"/>
  <c r="C289" i="8"/>
  <c r="B285" i="4"/>
  <c r="C285" i="8"/>
  <c r="B281" i="4"/>
  <c r="C281" i="8"/>
  <c r="B277" i="4"/>
  <c r="C277" i="8"/>
  <c r="B273" i="4"/>
  <c r="C273" i="8"/>
  <c r="B269" i="4"/>
  <c r="C269" i="8"/>
  <c r="B265" i="4"/>
  <c r="C265" i="8"/>
  <c r="B261" i="4"/>
  <c r="C261" i="8"/>
  <c r="B257" i="4"/>
  <c r="C257" i="8"/>
  <c r="B253" i="4"/>
  <c r="C253" i="8"/>
  <c r="B249" i="4"/>
  <c r="C249" i="8"/>
  <c r="B245" i="4"/>
  <c r="C245" i="8"/>
  <c r="B241" i="4"/>
  <c r="C241" i="8"/>
  <c r="B237" i="4"/>
  <c r="C237" i="8"/>
  <c r="B233" i="4"/>
  <c r="C233" i="8"/>
  <c r="B229" i="4"/>
  <c r="C229" i="8"/>
  <c r="B225" i="4"/>
  <c r="C225" i="8"/>
  <c r="B221" i="4"/>
  <c r="C221" i="8"/>
  <c r="B217" i="4"/>
  <c r="C217" i="8"/>
  <c r="B213" i="4"/>
  <c r="C213" i="8"/>
  <c r="B209" i="4"/>
  <c r="C209" i="8"/>
  <c r="B205" i="4"/>
  <c r="C205" i="8"/>
  <c r="B201" i="4"/>
  <c r="C201" i="8"/>
  <c r="B197" i="4"/>
  <c r="C197" i="8"/>
  <c r="B193" i="4"/>
  <c r="C193" i="8"/>
  <c r="B189" i="4"/>
  <c r="C189" i="8"/>
  <c r="B185" i="4"/>
  <c r="C185" i="8"/>
  <c r="B181" i="4"/>
  <c r="C181" i="8"/>
  <c r="B177" i="4"/>
  <c r="C177" i="8"/>
  <c r="B173" i="4"/>
  <c r="C173" i="8"/>
  <c r="B169" i="4"/>
  <c r="C169" i="8"/>
  <c r="B165" i="4"/>
  <c r="C165" i="8"/>
  <c r="B161" i="4"/>
  <c r="C161" i="8"/>
  <c r="B157" i="4"/>
  <c r="C157" i="8"/>
  <c r="B153" i="4"/>
  <c r="C153" i="8"/>
  <c r="B149" i="4"/>
  <c r="C149" i="8"/>
  <c r="B145" i="4"/>
  <c r="C145" i="8"/>
  <c r="B141" i="4"/>
  <c r="C141" i="8"/>
  <c r="B137" i="4"/>
  <c r="C137" i="8"/>
  <c r="B133" i="4"/>
  <c r="C133" i="8"/>
  <c r="B129" i="4"/>
  <c r="C129" i="8"/>
  <c r="B117" i="4"/>
  <c r="C117" i="8"/>
  <c r="B101" i="4"/>
  <c r="C101" i="8"/>
  <c r="B93" i="4"/>
  <c r="C93" i="8"/>
  <c r="B81" i="4"/>
  <c r="C81" i="8"/>
  <c r="B73" i="4"/>
  <c r="C73" i="8"/>
  <c r="B65" i="4"/>
  <c r="C65" i="8"/>
  <c r="B57" i="4"/>
  <c r="C57" i="8"/>
  <c r="B41" i="4"/>
  <c r="C41" i="8"/>
  <c r="B21" i="4"/>
  <c r="C21" i="8"/>
  <c r="C304" i="8"/>
  <c r="B300" i="4"/>
  <c r="C300" i="8"/>
  <c r="B296" i="4"/>
  <c r="C296" i="8"/>
  <c r="B292" i="4"/>
  <c r="C292" i="8"/>
  <c r="B288" i="4"/>
  <c r="C288" i="8"/>
  <c r="B284" i="4"/>
  <c r="C284" i="8"/>
  <c r="B280" i="4"/>
  <c r="C280" i="8"/>
  <c r="B276" i="4"/>
  <c r="C276" i="8"/>
  <c r="B272" i="4"/>
  <c r="C272" i="8"/>
  <c r="B268" i="4"/>
  <c r="C268" i="8"/>
  <c r="B264" i="4"/>
  <c r="C264" i="8"/>
  <c r="B260" i="4"/>
  <c r="C260" i="8"/>
  <c r="B256" i="4"/>
  <c r="C256" i="8"/>
  <c r="B252" i="4"/>
  <c r="C252" i="8"/>
  <c r="B248" i="4"/>
  <c r="C248" i="8"/>
  <c r="B244" i="4"/>
  <c r="C244" i="8"/>
  <c r="B240" i="4"/>
  <c r="C240" i="8"/>
  <c r="B236" i="4"/>
  <c r="C236" i="8"/>
  <c r="B232" i="4"/>
  <c r="C232" i="8"/>
  <c r="B228" i="4"/>
  <c r="C228" i="8"/>
  <c r="B224" i="4"/>
  <c r="C224" i="8"/>
  <c r="B220" i="4"/>
  <c r="C220" i="8"/>
  <c r="B216" i="4"/>
  <c r="C216" i="8"/>
  <c r="B212" i="4"/>
  <c r="C212" i="8"/>
  <c r="B208" i="4"/>
  <c r="C208" i="8"/>
  <c r="B204" i="4"/>
  <c r="C204" i="8"/>
  <c r="B200" i="4"/>
  <c r="C200" i="8"/>
  <c r="B196" i="4"/>
  <c r="C196" i="8"/>
  <c r="B192" i="4"/>
  <c r="C192" i="8"/>
  <c r="B188" i="4"/>
  <c r="C188" i="8"/>
  <c r="B184" i="4"/>
  <c r="C184" i="8"/>
  <c r="B180" i="4"/>
  <c r="C180" i="8"/>
  <c r="B176" i="4"/>
  <c r="C176" i="8"/>
  <c r="B172" i="4"/>
  <c r="C172" i="8"/>
  <c r="B168" i="4"/>
  <c r="C168" i="8"/>
  <c r="B164" i="4"/>
  <c r="C164" i="8"/>
  <c r="B160" i="4"/>
  <c r="C160" i="8"/>
  <c r="B156" i="4"/>
  <c r="C156" i="8"/>
  <c r="B152" i="4"/>
  <c r="C152" i="8"/>
  <c r="B148" i="4"/>
  <c r="C148" i="8"/>
  <c r="B144" i="4"/>
  <c r="C144" i="8"/>
  <c r="B140" i="4"/>
  <c r="C140" i="8"/>
  <c r="B136" i="4"/>
  <c r="C136" i="8"/>
  <c r="B132" i="4"/>
  <c r="C132" i="8"/>
  <c r="B128" i="4"/>
  <c r="C128" i="8"/>
  <c r="B124" i="4"/>
  <c r="C124" i="8"/>
  <c r="B120" i="4"/>
  <c r="C120" i="8"/>
  <c r="B116" i="4"/>
  <c r="C116" i="8"/>
  <c r="B112" i="4"/>
  <c r="C112" i="8"/>
  <c r="B108" i="4"/>
  <c r="C108" i="8"/>
  <c r="B104" i="4"/>
  <c r="C104" i="8"/>
  <c r="B100" i="4"/>
  <c r="C100" i="8"/>
  <c r="B96" i="4"/>
  <c r="C96" i="8"/>
  <c r="B92" i="4"/>
  <c r="C92" i="8"/>
  <c r="B88" i="4"/>
  <c r="C88" i="8"/>
  <c r="B84" i="4"/>
  <c r="C84" i="8"/>
  <c r="B80" i="4"/>
  <c r="C80" i="8"/>
  <c r="B76" i="4"/>
  <c r="C76" i="8"/>
  <c r="B72" i="4"/>
  <c r="C72" i="8"/>
  <c r="B68" i="4"/>
  <c r="C68" i="8"/>
  <c r="B64" i="4"/>
  <c r="C64" i="8"/>
  <c r="B60" i="4"/>
  <c r="C60" i="8"/>
  <c r="B56" i="4"/>
  <c r="C56" i="8"/>
  <c r="B52" i="4"/>
  <c r="C52" i="8"/>
  <c r="B48" i="4"/>
  <c r="C48" i="8"/>
  <c r="B44" i="4"/>
  <c r="C44" i="8"/>
  <c r="B40" i="4"/>
  <c r="C40" i="8"/>
  <c r="B36" i="4"/>
  <c r="C36" i="8"/>
  <c r="B32" i="4"/>
  <c r="C32" i="8"/>
  <c r="B28" i="4"/>
  <c r="C28" i="8"/>
  <c r="B24" i="4"/>
  <c r="C24" i="8"/>
  <c r="B20" i="4"/>
  <c r="C20" i="8"/>
  <c r="B127" i="4"/>
  <c r="C127" i="8"/>
  <c r="B123" i="4"/>
  <c r="C123" i="8"/>
  <c r="B115" i="4"/>
  <c r="C115" i="8"/>
  <c r="B107" i="4"/>
  <c r="C107" i="8"/>
  <c r="B99" i="4"/>
  <c r="C99" i="8"/>
  <c r="B91" i="4"/>
  <c r="C91" i="8"/>
  <c r="B83" i="4"/>
  <c r="C83" i="8"/>
  <c r="B75" i="4"/>
  <c r="C75" i="8"/>
  <c r="B67" i="4"/>
  <c r="C67" i="8"/>
  <c r="B63" i="4"/>
  <c r="C63" i="8"/>
  <c r="B55" i="4"/>
  <c r="C55" i="8"/>
  <c r="B47" i="4"/>
  <c r="C47" i="8"/>
  <c r="B39" i="4"/>
  <c r="C39" i="8"/>
  <c r="B31" i="4"/>
  <c r="C31" i="8"/>
  <c r="B23" i="4"/>
  <c r="C23" i="8"/>
  <c r="B49" i="4"/>
  <c r="C49" i="8"/>
  <c r="B33" i="4"/>
  <c r="C33" i="8"/>
  <c r="B303" i="4"/>
  <c r="C303" i="8"/>
  <c r="B299" i="4"/>
  <c r="C299" i="8"/>
  <c r="B295" i="4"/>
  <c r="C295" i="8"/>
  <c r="B291" i="4"/>
  <c r="C291" i="8"/>
  <c r="B287" i="4"/>
  <c r="C287" i="8"/>
  <c r="B283" i="4"/>
  <c r="C283" i="8"/>
  <c r="B279" i="4"/>
  <c r="C279" i="8"/>
  <c r="B275" i="4"/>
  <c r="C275" i="8"/>
  <c r="B271" i="4"/>
  <c r="C271" i="8"/>
  <c r="B267" i="4"/>
  <c r="C267" i="8"/>
  <c r="B263" i="4"/>
  <c r="C263" i="8"/>
  <c r="B259" i="4"/>
  <c r="C259" i="8"/>
  <c r="B255" i="4"/>
  <c r="C255" i="8"/>
  <c r="B251" i="4"/>
  <c r="C251" i="8"/>
  <c r="B247" i="4"/>
  <c r="C247" i="8"/>
  <c r="B243" i="4"/>
  <c r="C243" i="8"/>
  <c r="B239" i="4"/>
  <c r="C239" i="8"/>
  <c r="B235" i="4"/>
  <c r="C235" i="8"/>
  <c r="B231" i="4"/>
  <c r="C231" i="8"/>
  <c r="B227" i="4"/>
  <c r="C227" i="8"/>
  <c r="B223" i="4"/>
  <c r="C223" i="8"/>
  <c r="B219" i="4"/>
  <c r="C219" i="8"/>
  <c r="B215" i="4"/>
  <c r="C215" i="8"/>
  <c r="B211" i="4"/>
  <c r="C211" i="8"/>
  <c r="B207" i="4"/>
  <c r="C207" i="8"/>
  <c r="B203" i="4"/>
  <c r="C203" i="8"/>
  <c r="B199" i="4"/>
  <c r="C199" i="8"/>
  <c r="B195" i="4"/>
  <c r="C195" i="8"/>
  <c r="B191" i="4"/>
  <c r="C191" i="8"/>
  <c r="B187" i="4"/>
  <c r="C187" i="8"/>
  <c r="B183" i="4"/>
  <c r="C183" i="8"/>
  <c r="B179" i="4"/>
  <c r="C179" i="8"/>
  <c r="B175" i="4"/>
  <c r="C175" i="8"/>
  <c r="B171" i="4"/>
  <c r="C171" i="8"/>
  <c r="B167" i="4"/>
  <c r="C167" i="8"/>
  <c r="B163" i="4"/>
  <c r="C163" i="8"/>
  <c r="B159" i="4"/>
  <c r="C159" i="8"/>
  <c r="B155" i="4"/>
  <c r="C155" i="8"/>
  <c r="B151" i="4"/>
  <c r="C151" i="8"/>
  <c r="B147" i="4"/>
  <c r="C147" i="8"/>
  <c r="B143" i="4"/>
  <c r="C143" i="8"/>
  <c r="B139" i="4"/>
  <c r="C139" i="8"/>
  <c r="B135" i="4"/>
  <c r="C135" i="8"/>
  <c r="B131" i="4"/>
  <c r="C131" i="8"/>
  <c r="B119" i="4"/>
  <c r="C119" i="8"/>
  <c r="B111" i="4"/>
  <c r="C111" i="8"/>
  <c r="B103" i="4"/>
  <c r="C103" i="8"/>
  <c r="B95" i="4"/>
  <c r="C95" i="8"/>
  <c r="B87" i="4"/>
  <c r="C87" i="8"/>
  <c r="B79" i="4"/>
  <c r="C79" i="8"/>
  <c r="B71" i="4"/>
  <c r="C71" i="8"/>
  <c r="B59" i="4"/>
  <c r="C59" i="8"/>
  <c r="B51" i="4"/>
  <c r="C51" i="8"/>
  <c r="B43" i="4"/>
  <c r="C43" i="8"/>
  <c r="B35" i="4"/>
  <c r="C35" i="8"/>
  <c r="B27" i="4"/>
  <c r="C27" i="8"/>
  <c r="B19" i="4"/>
  <c r="C19" i="8"/>
  <c r="B45" i="4"/>
  <c r="C45" i="8"/>
  <c r="B29" i="4"/>
  <c r="C29" i="8"/>
  <c r="B304" i="4"/>
  <c r="B29" i="1" l="1"/>
  <c r="B45" i="1"/>
  <c r="B19" i="1"/>
  <c r="B27" i="1"/>
  <c r="B35" i="1"/>
  <c r="B43" i="1"/>
  <c r="B51" i="1"/>
  <c r="B59" i="1"/>
  <c r="B71" i="1"/>
  <c r="B79" i="1"/>
  <c r="B87" i="1"/>
  <c r="B95" i="1"/>
  <c r="B103" i="1"/>
  <c r="B111" i="1"/>
  <c r="B119" i="1"/>
  <c r="B131" i="1"/>
  <c r="B135" i="1"/>
  <c r="B139" i="1"/>
  <c r="B143" i="1"/>
  <c r="B147" i="1"/>
  <c r="B151" i="1"/>
  <c r="B155" i="1"/>
  <c r="B159" i="1"/>
  <c r="B163" i="1"/>
  <c r="B167" i="1"/>
  <c r="B171" i="1"/>
  <c r="B175" i="1"/>
  <c r="B179" i="1"/>
  <c r="B183" i="1"/>
  <c r="B187" i="1"/>
  <c r="B191" i="1"/>
  <c r="B195" i="1"/>
  <c r="B199" i="1"/>
  <c r="B203" i="1"/>
  <c r="B207" i="1"/>
  <c r="B211" i="1"/>
  <c r="B215" i="1"/>
  <c r="B219" i="1"/>
  <c r="B223" i="1"/>
  <c r="B227" i="1"/>
  <c r="B231" i="1"/>
  <c r="B235" i="1"/>
  <c r="B239" i="1"/>
  <c r="B243" i="1"/>
  <c r="B247" i="1"/>
  <c r="B251" i="1"/>
  <c r="B255" i="1"/>
  <c r="B259" i="1"/>
  <c r="B263" i="1"/>
  <c r="B267" i="1"/>
  <c r="B271" i="1"/>
  <c r="B275" i="1"/>
  <c r="B279" i="1"/>
  <c r="B283" i="1"/>
  <c r="B287" i="1"/>
  <c r="B291" i="1"/>
  <c r="B295" i="1"/>
  <c r="B299" i="1"/>
  <c r="B303" i="1"/>
  <c r="B33" i="1"/>
  <c r="B49" i="1"/>
  <c r="B23" i="1"/>
  <c r="B31" i="1"/>
  <c r="B39" i="1"/>
  <c r="B47" i="1"/>
  <c r="B55" i="1"/>
  <c r="B63" i="1"/>
  <c r="B67" i="1"/>
  <c r="B75" i="1"/>
  <c r="B83" i="1"/>
  <c r="B91" i="1"/>
  <c r="B99" i="1"/>
  <c r="B107" i="1"/>
  <c r="B115" i="1"/>
  <c r="B123" i="1"/>
  <c r="B127" i="1"/>
  <c r="B20" i="1"/>
  <c r="B24" i="1"/>
  <c r="B28" i="1"/>
  <c r="B32" i="1"/>
  <c r="B36" i="1"/>
  <c r="B40" i="1"/>
  <c r="B44" i="1"/>
  <c r="B48" i="1"/>
  <c r="B52" i="1"/>
  <c r="B56" i="1"/>
  <c r="B60" i="1"/>
  <c r="B64" i="1"/>
  <c r="B68" i="1"/>
  <c r="B72" i="1"/>
  <c r="B76" i="1"/>
  <c r="B80" i="1"/>
  <c r="B84" i="1"/>
  <c r="B88" i="1"/>
  <c r="B92" i="1"/>
  <c r="B96" i="1"/>
  <c r="B100" i="1"/>
  <c r="B104" i="1"/>
  <c r="B108" i="1"/>
  <c r="B112" i="1"/>
  <c r="B116" i="1"/>
  <c r="B120" i="1"/>
  <c r="B124" i="1"/>
  <c r="B128" i="1"/>
  <c r="B132" i="1"/>
  <c r="B136" i="1"/>
  <c r="B140" i="1"/>
  <c r="B144" i="1"/>
  <c r="B148" i="1"/>
  <c r="B152" i="1"/>
  <c r="B156" i="1"/>
  <c r="B160" i="1"/>
  <c r="B164" i="1"/>
  <c r="B168" i="1"/>
  <c r="B172" i="1"/>
  <c r="B176" i="1"/>
  <c r="B180" i="1"/>
  <c r="B184" i="1"/>
  <c r="B188" i="1"/>
  <c r="B192" i="1"/>
  <c r="B196" i="1"/>
  <c r="B200" i="1"/>
  <c r="B204" i="1"/>
  <c r="B208" i="1"/>
  <c r="B212" i="1"/>
  <c r="B216" i="1"/>
  <c r="B220" i="1"/>
  <c r="B224" i="1"/>
  <c r="B228" i="1"/>
  <c r="B232" i="1"/>
  <c r="B236" i="1"/>
  <c r="B240" i="1"/>
  <c r="B244" i="1"/>
  <c r="B248" i="1"/>
  <c r="B252" i="1"/>
  <c r="B256" i="1"/>
  <c r="B260" i="1"/>
  <c r="B264" i="1"/>
  <c r="B268" i="1"/>
  <c r="B272" i="1"/>
  <c r="B276" i="1"/>
  <c r="B280" i="1"/>
  <c r="B284" i="1"/>
  <c r="B288" i="1"/>
  <c r="B292" i="1"/>
  <c r="B296" i="1"/>
  <c r="B300" i="1"/>
  <c r="B21" i="1"/>
  <c r="B41" i="1"/>
  <c r="B57" i="1"/>
  <c r="B65" i="1"/>
  <c r="B73" i="1"/>
  <c r="B81" i="1"/>
  <c r="B93" i="1"/>
  <c r="B101" i="1"/>
  <c r="B117" i="1"/>
  <c r="B129" i="1"/>
  <c r="B133" i="1"/>
  <c r="B137" i="1"/>
  <c r="B141" i="1"/>
  <c r="B145" i="1"/>
  <c r="B149" i="1"/>
  <c r="B153" i="1"/>
  <c r="B157" i="1"/>
  <c r="B161" i="1"/>
  <c r="B165" i="1"/>
  <c r="B169" i="1"/>
  <c r="B173" i="1"/>
  <c r="B177" i="1"/>
  <c r="B181" i="1"/>
  <c r="B185" i="1"/>
  <c r="B189" i="1"/>
  <c r="B193" i="1"/>
  <c r="B197" i="1"/>
  <c r="B201" i="1"/>
  <c r="B205" i="1"/>
  <c r="B209" i="1"/>
  <c r="B213" i="1"/>
  <c r="B217" i="1"/>
  <c r="B221" i="1"/>
  <c r="B225" i="1"/>
  <c r="B229" i="1"/>
  <c r="B233" i="1"/>
  <c r="B237" i="1"/>
  <c r="B241" i="1"/>
  <c r="B245" i="1"/>
  <c r="B249" i="1"/>
  <c r="B253" i="1"/>
  <c r="B257" i="1"/>
  <c r="B261" i="1"/>
  <c r="B265" i="1"/>
  <c r="B269" i="1"/>
  <c r="B273" i="1"/>
  <c r="B277" i="1"/>
  <c r="B281" i="1"/>
  <c r="B285" i="1"/>
  <c r="B289" i="1"/>
  <c r="B293" i="1"/>
  <c r="B297" i="1"/>
  <c r="B301" i="1"/>
  <c r="B305" i="1"/>
  <c r="B25" i="1"/>
  <c r="B37" i="1"/>
  <c r="B53" i="1"/>
  <c r="B61" i="1"/>
  <c r="B69" i="1"/>
  <c r="B77" i="1"/>
  <c r="B85" i="1"/>
  <c r="B89" i="1"/>
  <c r="B97" i="1"/>
  <c r="B105" i="1"/>
  <c r="B109" i="1"/>
  <c r="B113" i="1"/>
  <c r="B121" i="1"/>
  <c r="B125" i="1"/>
  <c r="B22" i="1"/>
  <c r="B26" i="1"/>
  <c r="B30" i="1"/>
  <c r="B34" i="1"/>
  <c r="B38" i="1"/>
  <c r="B42" i="1"/>
  <c r="B46" i="1"/>
  <c r="B50" i="1"/>
  <c r="B54" i="1"/>
  <c r="B58" i="1"/>
  <c r="B62" i="1"/>
  <c r="B66" i="1"/>
  <c r="B70" i="1"/>
  <c r="B74" i="1"/>
  <c r="B78" i="1"/>
  <c r="B82" i="1"/>
  <c r="B86" i="1"/>
  <c r="B90" i="1"/>
  <c r="B94" i="1"/>
  <c r="B98" i="1"/>
  <c r="B102" i="1"/>
  <c r="B106" i="1"/>
  <c r="B110" i="1"/>
  <c r="B114" i="1"/>
  <c r="B118" i="1"/>
  <c r="B122" i="1"/>
  <c r="B126" i="1"/>
  <c r="B130" i="1"/>
  <c r="B134" i="1"/>
  <c r="B138" i="1"/>
  <c r="B142" i="1"/>
  <c r="B146" i="1"/>
  <c r="B150" i="1"/>
  <c r="B154" i="1"/>
  <c r="B158" i="1"/>
  <c r="B162" i="1"/>
  <c r="B166" i="1"/>
  <c r="B170" i="1"/>
  <c r="B174" i="1"/>
  <c r="B178" i="1"/>
  <c r="B182" i="1"/>
  <c r="B186" i="1"/>
  <c r="B190" i="1"/>
  <c r="B194" i="1"/>
  <c r="B198" i="1"/>
  <c r="B202" i="1"/>
  <c r="B206" i="1"/>
  <c r="B210" i="1"/>
  <c r="B214" i="1"/>
  <c r="B218" i="1"/>
  <c r="B222" i="1"/>
  <c r="B226" i="1"/>
  <c r="B230" i="1"/>
  <c r="B234" i="1"/>
  <c r="B238" i="1"/>
  <c r="B242" i="1"/>
  <c r="B246" i="1"/>
  <c r="B250" i="1"/>
  <c r="B254" i="1"/>
  <c r="B258" i="1"/>
  <c r="B262" i="1"/>
  <c r="B266" i="1"/>
  <c r="B270" i="1"/>
  <c r="B274" i="1"/>
  <c r="B278" i="1"/>
  <c r="B282" i="1"/>
  <c r="B286" i="1"/>
  <c r="B290" i="1"/>
  <c r="B294" i="1"/>
  <c r="B298" i="1"/>
  <c r="B302" i="1"/>
  <c r="B306" i="1"/>
  <c r="M79" i="4"/>
  <c r="N79" i="4" s="1"/>
  <c r="M87" i="4"/>
  <c r="N87" i="4" s="1"/>
  <c r="F95" i="4"/>
  <c r="M103" i="4"/>
  <c r="N103" i="4" s="1"/>
  <c r="M111" i="4"/>
  <c r="N111" i="4" s="1"/>
  <c r="M119" i="4"/>
  <c r="N119" i="4" s="1"/>
  <c r="M135" i="4"/>
  <c r="N135" i="4" s="1"/>
  <c r="M143" i="4"/>
  <c r="N143" i="4" s="1"/>
  <c r="M147" i="4"/>
  <c r="N147" i="4" s="1"/>
  <c r="M151" i="4"/>
  <c r="N151" i="4" s="1"/>
  <c r="M155" i="4"/>
  <c r="N155" i="4" s="1"/>
  <c r="F159" i="4"/>
  <c r="M167" i="4"/>
  <c r="N167" i="4" s="1"/>
  <c r="B167" i="8"/>
  <c r="M171" i="4"/>
  <c r="N171" i="4" s="1"/>
  <c r="B171" i="8"/>
  <c r="B175" i="8"/>
  <c r="B179" i="8"/>
  <c r="M183" i="4"/>
  <c r="N183" i="4" s="1"/>
  <c r="B183" i="8"/>
  <c r="F187" i="4"/>
  <c r="B187" i="8"/>
  <c r="B191" i="8"/>
  <c r="B195" i="8"/>
  <c r="F199" i="4"/>
  <c r="B199" i="8"/>
  <c r="M203" i="4"/>
  <c r="N203" i="4" s="1"/>
  <c r="B203" i="8"/>
  <c r="F207" i="4"/>
  <c r="B207" i="8"/>
  <c r="B211" i="8"/>
  <c r="M215" i="4"/>
  <c r="N215" i="4" s="1"/>
  <c r="B215" i="8"/>
  <c r="M219" i="4"/>
  <c r="N219" i="4" s="1"/>
  <c r="B219" i="8"/>
  <c r="B223" i="8"/>
  <c r="B227" i="8"/>
  <c r="M231" i="4"/>
  <c r="N231" i="4" s="1"/>
  <c r="B231" i="8"/>
  <c r="M235" i="4"/>
  <c r="N235" i="4" s="1"/>
  <c r="B235" i="8"/>
  <c r="B239" i="8"/>
  <c r="B243" i="8"/>
  <c r="M247" i="4"/>
  <c r="N247" i="4" s="1"/>
  <c r="B247" i="8"/>
  <c r="F251" i="4"/>
  <c r="B251" i="8"/>
  <c r="B255" i="8"/>
  <c r="B259" i="8"/>
  <c r="M263" i="4"/>
  <c r="N263" i="4" s="1"/>
  <c r="B263" i="8"/>
  <c r="M267" i="4"/>
  <c r="N267" i="4" s="1"/>
  <c r="B267" i="8"/>
  <c r="B271" i="8"/>
  <c r="B275" i="8"/>
  <c r="M279" i="4"/>
  <c r="N279" i="4" s="1"/>
  <c r="B279" i="8"/>
  <c r="M283" i="4"/>
  <c r="N283" i="4" s="1"/>
  <c r="B283" i="8"/>
  <c r="B287" i="8"/>
  <c r="B291" i="8"/>
  <c r="M295" i="4"/>
  <c r="N295" i="4" s="1"/>
  <c r="B295" i="8"/>
  <c r="M299" i="4"/>
  <c r="N299" i="4" s="1"/>
  <c r="B299" i="8"/>
  <c r="B303" i="8"/>
  <c r="F33" i="4"/>
  <c r="F31" i="4"/>
  <c r="F39" i="4"/>
  <c r="M47" i="4"/>
  <c r="N47" i="4" s="1"/>
  <c r="G47" i="4" s="1"/>
  <c r="M75" i="4"/>
  <c r="N75" i="4" s="1"/>
  <c r="M83" i="4"/>
  <c r="N83" i="4" s="1"/>
  <c r="F91" i="4"/>
  <c r="M107" i="4"/>
  <c r="N107" i="4" s="1"/>
  <c r="M115" i="4"/>
  <c r="N115" i="4" s="1"/>
  <c r="F123" i="4"/>
  <c r="F127" i="4"/>
  <c r="M32" i="4"/>
  <c r="N32" i="4" s="1"/>
  <c r="M36" i="4"/>
  <c r="N36" i="4" s="1"/>
  <c r="B168" i="8"/>
  <c r="B172" i="8"/>
  <c r="B176" i="8"/>
  <c r="B180" i="8"/>
  <c r="B184" i="8"/>
  <c r="B188" i="8"/>
  <c r="M192" i="4"/>
  <c r="N192" i="4" s="1"/>
  <c r="B192" i="8"/>
  <c r="B196" i="8"/>
  <c r="B200" i="8"/>
  <c r="B204" i="8"/>
  <c r="M208" i="4"/>
  <c r="N208" i="4" s="1"/>
  <c r="B208" i="8"/>
  <c r="B212" i="8"/>
  <c r="B216" i="8"/>
  <c r="B220" i="8"/>
  <c r="B224" i="8"/>
  <c r="B228" i="8"/>
  <c r="B232" i="8"/>
  <c r="B236" i="8"/>
  <c r="B240" i="8"/>
  <c r="B244" i="8"/>
  <c r="B248" i="8"/>
  <c r="B252" i="8"/>
  <c r="M256" i="4"/>
  <c r="N256" i="4" s="1"/>
  <c r="B256" i="8"/>
  <c r="B260" i="8"/>
  <c r="B264" i="8"/>
  <c r="B268" i="8"/>
  <c r="M272" i="4"/>
  <c r="N272" i="4" s="1"/>
  <c r="B272" i="8"/>
  <c r="B276" i="8"/>
  <c r="B280" i="8"/>
  <c r="B284" i="8"/>
  <c r="B288" i="8"/>
  <c r="B292" i="8"/>
  <c r="B296" i="8"/>
  <c r="B300" i="8"/>
  <c r="F21" i="4"/>
  <c r="F129" i="4"/>
  <c r="M157" i="4"/>
  <c r="N157" i="4" s="1"/>
  <c r="F161" i="4"/>
  <c r="B169" i="8"/>
  <c r="F173" i="4"/>
  <c r="B173" i="8"/>
  <c r="B177" i="8"/>
  <c r="B181" i="8"/>
  <c r="B185" i="8"/>
  <c r="M189" i="4"/>
  <c r="N189" i="4" s="1"/>
  <c r="B189" i="8"/>
  <c r="B193" i="8"/>
  <c r="B197" i="8"/>
  <c r="B201" i="8"/>
  <c r="M205" i="4"/>
  <c r="N205" i="4" s="1"/>
  <c r="B205" i="8"/>
  <c r="B209" i="8"/>
  <c r="B213" i="8"/>
  <c r="B217" i="8"/>
  <c r="F221" i="4"/>
  <c r="B221" i="8"/>
  <c r="B225" i="8"/>
  <c r="B229" i="8"/>
  <c r="B233" i="8"/>
  <c r="M237" i="4"/>
  <c r="N237" i="4" s="1"/>
  <c r="B237" i="8"/>
  <c r="B241" i="8"/>
  <c r="F245" i="4"/>
  <c r="B245" i="8"/>
  <c r="B249" i="8"/>
  <c r="M253" i="4"/>
  <c r="N253" i="4" s="1"/>
  <c r="B253" i="8"/>
  <c r="B257" i="8"/>
  <c r="B261" i="8"/>
  <c r="F265" i="4"/>
  <c r="B265" i="8"/>
  <c r="M269" i="4"/>
  <c r="N269" i="4" s="1"/>
  <c r="B269" i="8"/>
  <c r="B273" i="8"/>
  <c r="B277" i="8"/>
  <c r="B281" i="8"/>
  <c r="M285" i="4"/>
  <c r="N285" i="4" s="1"/>
  <c r="B285" i="8"/>
  <c r="B289" i="8"/>
  <c r="B293" i="8"/>
  <c r="B297" i="8"/>
  <c r="M301" i="4"/>
  <c r="N301" i="4" s="1"/>
  <c r="B301" i="8"/>
  <c r="B305" i="8"/>
  <c r="F25" i="4"/>
  <c r="F37" i="4"/>
  <c r="M53" i="4"/>
  <c r="N53" i="4" s="1"/>
  <c r="F97" i="4"/>
  <c r="F121" i="4"/>
  <c r="F62" i="4"/>
  <c r="M70" i="4"/>
  <c r="N70" i="4" s="1"/>
  <c r="F78" i="4"/>
  <c r="F82" i="4"/>
  <c r="F86" i="4"/>
  <c r="M90" i="4"/>
  <c r="N90" i="4" s="1"/>
  <c r="M94" i="4"/>
  <c r="N94" i="4" s="1"/>
  <c r="M102" i="4"/>
  <c r="N102" i="4" s="1"/>
  <c r="M110" i="4"/>
  <c r="N110" i="4" s="1"/>
  <c r="F114" i="4"/>
  <c r="F118" i="4"/>
  <c r="M126" i="4"/>
  <c r="N126" i="4" s="1"/>
  <c r="M134" i="4"/>
  <c r="N134" i="4" s="1"/>
  <c r="F146" i="4"/>
  <c r="F150" i="4"/>
  <c r="M154" i="4"/>
  <c r="N154" i="4" s="1"/>
  <c r="M166" i="4"/>
  <c r="N166" i="4" s="1"/>
  <c r="M170" i="4"/>
  <c r="N170" i="4" s="1"/>
  <c r="B170" i="8"/>
  <c r="B174" i="8"/>
  <c r="F178" i="4"/>
  <c r="B178" i="8"/>
  <c r="M182" i="4"/>
  <c r="N182" i="4" s="1"/>
  <c r="B182" i="8"/>
  <c r="M186" i="4"/>
  <c r="N186" i="4" s="1"/>
  <c r="B186" i="8"/>
  <c r="F190" i="4"/>
  <c r="B190" i="8"/>
  <c r="B194" i="8"/>
  <c r="M198" i="4"/>
  <c r="N198" i="4" s="1"/>
  <c r="B198" i="8"/>
  <c r="M202" i="4"/>
  <c r="N202" i="4" s="1"/>
  <c r="B202" i="8"/>
  <c r="B206" i="8"/>
  <c r="F210" i="4"/>
  <c r="B210" i="8"/>
  <c r="M214" i="4"/>
  <c r="N214" i="4" s="1"/>
  <c r="B214" i="8"/>
  <c r="M218" i="4"/>
  <c r="N218" i="4" s="1"/>
  <c r="B218" i="8"/>
  <c r="B222" i="8"/>
  <c r="B226" i="8"/>
  <c r="M230" i="4"/>
  <c r="N230" i="4" s="1"/>
  <c r="B230" i="8"/>
  <c r="M234" i="4"/>
  <c r="N234" i="4" s="1"/>
  <c r="B234" i="8"/>
  <c r="F238" i="4"/>
  <c r="B238" i="8"/>
  <c r="B242" i="8"/>
  <c r="M246" i="4"/>
  <c r="N246" i="4" s="1"/>
  <c r="B246" i="8"/>
  <c r="M250" i="4"/>
  <c r="N250" i="4" s="1"/>
  <c r="B250" i="8"/>
  <c r="B254" i="8"/>
  <c r="B258" i="8"/>
  <c r="M262" i="4"/>
  <c r="N262" i="4" s="1"/>
  <c r="B262" i="8"/>
  <c r="M266" i="4"/>
  <c r="N266" i="4" s="1"/>
  <c r="B266" i="8"/>
  <c r="B270" i="8"/>
  <c r="F274" i="4"/>
  <c r="B274" i="8"/>
  <c r="M278" i="4"/>
  <c r="N278" i="4" s="1"/>
  <c r="B278" i="8"/>
  <c r="M282" i="4"/>
  <c r="N282" i="4" s="1"/>
  <c r="B282" i="8"/>
  <c r="B286" i="8"/>
  <c r="B290" i="8"/>
  <c r="M294" i="4"/>
  <c r="N294" i="4" s="1"/>
  <c r="B294" i="8"/>
  <c r="M298" i="4"/>
  <c r="N298" i="4" s="1"/>
  <c r="B298" i="8"/>
  <c r="B302" i="8"/>
  <c r="B306" i="8"/>
  <c r="B304" i="1"/>
  <c r="B304" i="8"/>
  <c r="M86" i="4"/>
  <c r="N86" i="4" s="1"/>
  <c r="G86" i="4" s="1"/>
  <c r="M118" i="4"/>
  <c r="N118" i="4" s="1"/>
  <c r="M173" i="4"/>
  <c r="N173" i="4" s="1"/>
  <c r="G173" i="4" s="1"/>
  <c r="M39" i="4"/>
  <c r="N39" i="4" s="1"/>
  <c r="G39" i="4" s="1"/>
  <c r="M91" i="4"/>
  <c r="N91" i="4" s="1"/>
  <c r="M123" i="4"/>
  <c r="N123" i="4" s="1"/>
  <c r="G123" i="4" s="1"/>
  <c r="M221" i="4"/>
  <c r="N221" i="4" s="1"/>
  <c r="G221" i="4" s="1"/>
  <c r="F155" i="4"/>
  <c r="H155" i="4" s="1"/>
  <c r="M78" i="4"/>
  <c r="N78" i="4" s="1"/>
  <c r="M21" i="4"/>
  <c r="N21" i="4" s="1"/>
  <c r="G21" i="4" s="1"/>
  <c r="F53" i="4"/>
  <c r="H53" i="4" s="1"/>
  <c r="M99" i="4"/>
  <c r="N99" i="4" s="1"/>
  <c r="G99" i="4" s="1"/>
  <c r="M131" i="4"/>
  <c r="N131" i="4" s="1"/>
  <c r="G131" i="4" s="1"/>
  <c r="M150" i="4"/>
  <c r="N150" i="4" s="1"/>
  <c r="G150" i="4" s="1"/>
  <c r="M25" i="4"/>
  <c r="N25" i="4" s="1"/>
  <c r="G25" i="4" s="1"/>
  <c r="M28" i="4"/>
  <c r="N28" i="4" s="1"/>
  <c r="G28" i="4" s="1"/>
  <c r="F28" i="4"/>
  <c r="H28" i="4" s="1"/>
  <c r="F40" i="4"/>
  <c r="M40" i="4"/>
  <c r="N40" i="4" s="1"/>
  <c r="G40" i="4" s="1"/>
  <c r="F52" i="4"/>
  <c r="H52" i="4" s="1"/>
  <c r="F64" i="4"/>
  <c r="M64" i="4"/>
  <c r="N64" i="4" s="1"/>
  <c r="G64" i="4" s="1"/>
  <c r="F92" i="4"/>
  <c r="H92" i="4" s="1"/>
  <c r="M92" i="4"/>
  <c r="N92" i="4" s="1"/>
  <c r="G92" i="4" s="1"/>
  <c r="F100" i="4"/>
  <c r="M100" i="4"/>
  <c r="N100" i="4" s="1"/>
  <c r="G100" i="4" s="1"/>
  <c r="M104" i="4"/>
  <c r="N104" i="4" s="1"/>
  <c r="G104" i="4" s="1"/>
  <c r="F116" i="4"/>
  <c r="H116" i="4" s="1"/>
  <c r="M116" i="4"/>
  <c r="N116" i="4" s="1"/>
  <c r="G116" i="4" s="1"/>
  <c r="F128" i="4"/>
  <c r="M128" i="4"/>
  <c r="N128" i="4" s="1"/>
  <c r="G128" i="4" s="1"/>
  <c r="F140" i="4"/>
  <c r="H140" i="4" s="1"/>
  <c r="F148" i="4"/>
  <c r="M148" i="4"/>
  <c r="N148" i="4" s="1"/>
  <c r="G148" i="4" s="1"/>
  <c r="F152" i="4"/>
  <c r="H152" i="4" s="1"/>
  <c r="M152" i="4"/>
  <c r="N152" i="4" s="1"/>
  <c r="G152" i="4" s="1"/>
  <c r="F156" i="4"/>
  <c r="M156" i="4"/>
  <c r="N156" i="4" s="1"/>
  <c r="G156" i="4" s="1"/>
  <c r="F160" i="4"/>
  <c r="F172" i="4"/>
  <c r="H172" i="4" s="1"/>
  <c r="A172" i="8" s="1"/>
  <c r="M172" i="4"/>
  <c r="N172" i="4" s="1"/>
  <c r="G172" i="4" s="1"/>
  <c r="F22" i="4"/>
  <c r="H22" i="4" s="1"/>
  <c r="M22" i="4"/>
  <c r="N22" i="4" s="1"/>
  <c r="G22" i="4" s="1"/>
  <c r="F26" i="4"/>
  <c r="H26" i="4" s="1"/>
  <c r="M26" i="4"/>
  <c r="N26" i="4" s="1"/>
  <c r="G26" i="4" s="1"/>
  <c r="F30" i="4"/>
  <c r="M30" i="4"/>
  <c r="N30" i="4" s="1"/>
  <c r="G30" i="4" s="1"/>
  <c r="M34" i="4"/>
  <c r="N34" i="4" s="1"/>
  <c r="G34" i="4" s="1"/>
  <c r="F34" i="4"/>
  <c r="H34" i="4" s="1"/>
  <c r="F38" i="4"/>
  <c r="M38" i="4"/>
  <c r="N38" i="4" s="1"/>
  <c r="G38" i="4" s="1"/>
  <c r="M42" i="4"/>
  <c r="N42" i="4" s="1"/>
  <c r="G42" i="4" s="1"/>
  <c r="F46" i="4"/>
  <c r="F50" i="4"/>
  <c r="H50" i="4" s="1"/>
  <c r="M50" i="4"/>
  <c r="N50" i="4" s="1"/>
  <c r="G50" i="4" s="1"/>
  <c r="F54" i="4"/>
  <c r="H54" i="4" s="1"/>
  <c r="M54" i="4"/>
  <c r="N54" i="4" s="1"/>
  <c r="G54" i="4" s="1"/>
  <c r="M58" i="4"/>
  <c r="N58" i="4" s="1"/>
  <c r="G58" i="4" s="1"/>
  <c r="F58" i="4"/>
  <c r="H58" i="4" s="1"/>
  <c r="M140" i="4"/>
  <c r="N140" i="4" s="1"/>
  <c r="G140" i="4" s="1"/>
  <c r="M46" i="4"/>
  <c r="N46" i="4" s="1"/>
  <c r="G46" i="4" s="1"/>
  <c r="F42" i="4"/>
  <c r="F20" i="4"/>
  <c r="H20" i="4" s="1"/>
  <c r="M20" i="4"/>
  <c r="N20" i="4" s="1"/>
  <c r="G20" i="4" s="1"/>
  <c r="G32" i="4"/>
  <c r="F32" i="4"/>
  <c r="F44" i="4"/>
  <c r="H44" i="4" s="1"/>
  <c r="M44" i="4"/>
  <c r="N44" i="4" s="1"/>
  <c r="G44" i="4" s="1"/>
  <c r="M60" i="4"/>
  <c r="N60" i="4" s="1"/>
  <c r="G60" i="4" s="1"/>
  <c r="M72" i="4"/>
  <c r="N72" i="4" s="1"/>
  <c r="G72" i="4" s="1"/>
  <c r="F72" i="4"/>
  <c r="H72" i="4" s="1"/>
  <c r="F96" i="4"/>
  <c r="H96" i="4" s="1"/>
  <c r="M96" i="4"/>
  <c r="N96" i="4" s="1"/>
  <c r="G96" i="4" s="1"/>
  <c r="F108" i="4"/>
  <c r="H108" i="4" s="1"/>
  <c r="M108" i="4"/>
  <c r="N108" i="4" s="1"/>
  <c r="G108" i="4" s="1"/>
  <c r="F124" i="4"/>
  <c r="H124" i="4" s="1"/>
  <c r="M124" i="4"/>
  <c r="N124" i="4" s="1"/>
  <c r="G124" i="4" s="1"/>
  <c r="F136" i="4"/>
  <c r="H136" i="4" s="1"/>
  <c r="M136" i="4"/>
  <c r="N136" i="4" s="1"/>
  <c r="G136" i="4" s="1"/>
  <c r="E136" i="4" s="1"/>
  <c r="F164" i="4"/>
  <c r="H164" i="4" s="1"/>
  <c r="M164" i="4"/>
  <c r="N164" i="4" s="1"/>
  <c r="G164" i="4" s="1"/>
  <c r="F180" i="4"/>
  <c r="M180" i="4"/>
  <c r="N180" i="4" s="1"/>
  <c r="G180" i="4" s="1"/>
  <c r="F188" i="4"/>
  <c r="H188" i="4" s="1"/>
  <c r="A188" i="8" s="1"/>
  <c r="M188" i="4"/>
  <c r="N188" i="4" s="1"/>
  <c r="G188" i="4" s="1"/>
  <c r="M196" i="4"/>
  <c r="N196" i="4" s="1"/>
  <c r="G196" i="4" s="1"/>
  <c r="F196" i="4"/>
  <c r="H196" i="4" s="1"/>
  <c r="A196" i="8" s="1"/>
  <c r="F204" i="4"/>
  <c r="H204" i="4" s="1"/>
  <c r="A204" i="8" s="1"/>
  <c r="M204" i="4"/>
  <c r="N204" i="4" s="1"/>
  <c r="G204" i="4" s="1"/>
  <c r="F216" i="4"/>
  <c r="M216" i="4"/>
  <c r="N216" i="4" s="1"/>
  <c r="G216" i="4" s="1"/>
  <c r="F224" i="4"/>
  <c r="H224" i="4" s="1"/>
  <c r="A224" i="8" s="1"/>
  <c r="F228" i="4"/>
  <c r="H228" i="4" s="1"/>
  <c r="A228" i="8" s="1"/>
  <c r="M228" i="4"/>
  <c r="N228" i="4" s="1"/>
  <c r="G228" i="4" s="1"/>
  <c r="F236" i="4"/>
  <c r="H236" i="4" s="1"/>
  <c r="A236" i="8" s="1"/>
  <c r="M236" i="4"/>
  <c r="N236" i="4" s="1"/>
  <c r="G236" i="4" s="1"/>
  <c r="F248" i="4"/>
  <c r="M248" i="4"/>
  <c r="N248" i="4" s="1"/>
  <c r="G248" i="4" s="1"/>
  <c r="F256" i="4"/>
  <c r="G256" i="4"/>
  <c r="F264" i="4"/>
  <c r="M264" i="4"/>
  <c r="N264" i="4" s="1"/>
  <c r="G264" i="4" s="1"/>
  <c r="F268" i="4"/>
  <c r="H268" i="4" s="1"/>
  <c r="A268" i="8" s="1"/>
  <c r="M268" i="4"/>
  <c r="N268" i="4" s="1"/>
  <c r="G268" i="4" s="1"/>
  <c r="E268" i="4" s="1"/>
  <c r="G272" i="4"/>
  <c r="F272" i="4"/>
  <c r="H272" i="4" s="1"/>
  <c r="A272" i="8" s="1"/>
  <c r="F288" i="4"/>
  <c r="H288" i="4" s="1"/>
  <c r="A288" i="8" s="1"/>
  <c r="F292" i="4"/>
  <c r="H292" i="4" s="1"/>
  <c r="A292" i="8" s="1"/>
  <c r="M292" i="4"/>
  <c r="N292" i="4" s="1"/>
  <c r="G292" i="4" s="1"/>
  <c r="F296" i="4"/>
  <c r="M296" i="4"/>
  <c r="N296" i="4" s="1"/>
  <c r="G296" i="4" s="1"/>
  <c r="F304" i="4"/>
  <c r="H304" i="4" s="1"/>
  <c r="A304" i="8" s="1"/>
  <c r="M160" i="4"/>
  <c r="N160" i="4" s="1"/>
  <c r="G160" i="4" s="1"/>
  <c r="M288" i="4"/>
  <c r="N288" i="4" s="1"/>
  <c r="G288" i="4" s="1"/>
  <c r="F24" i="4"/>
  <c r="M24" i="4"/>
  <c r="N24" i="4" s="1"/>
  <c r="G24" i="4" s="1"/>
  <c r="G36" i="4"/>
  <c r="F48" i="4"/>
  <c r="M48" i="4"/>
  <c r="N48" i="4" s="1"/>
  <c r="G48" i="4" s="1"/>
  <c r="F56" i="4"/>
  <c r="H56" i="4" s="1"/>
  <c r="F68" i="4"/>
  <c r="M68" i="4"/>
  <c r="N68" i="4" s="1"/>
  <c r="G68" i="4" s="1"/>
  <c r="F76" i="4"/>
  <c r="H76" i="4" s="1"/>
  <c r="M76" i="4"/>
  <c r="N76" i="4" s="1"/>
  <c r="G76" i="4" s="1"/>
  <c r="F80" i="4"/>
  <c r="M80" i="4"/>
  <c r="N80" i="4" s="1"/>
  <c r="G80" i="4" s="1"/>
  <c r="F84" i="4"/>
  <c r="H84" i="4" s="1"/>
  <c r="M84" i="4"/>
  <c r="N84" i="4" s="1"/>
  <c r="G84" i="4" s="1"/>
  <c r="F88" i="4"/>
  <c r="M88" i="4"/>
  <c r="N88" i="4" s="1"/>
  <c r="G88" i="4" s="1"/>
  <c r="F112" i="4"/>
  <c r="H112" i="4" s="1"/>
  <c r="M112" i="4"/>
  <c r="N112" i="4" s="1"/>
  <c r="G112" i="4" s="1"/>
  <c r="F120" i="4"/>
  <c r="M120" i="4"/>
  <c r="N120" i="4" s="1"/>
  <c r="G120" i="4" s="1"/>
  <c r="F132" i="4"/>
  <c r="H132" i="4" s="1"/>
  <c r="M132" i="4"/>
  <c r="N132" i="4" s="1"/>
  <c r="G132" i="4" s="1"/>
  <c r="F144" i="4"/>
  <c r="H144" i="4" s="1"/>
  <c r="M144" i="4"/>
  <c r="N144" i="4" s="1"/>
  <c r="G144" i="4" s="1"/>
  <c r="F168" i="4"/>
  <c r="H168" i="4" s="1"/>
  <c r="A168" i="8" s="1"/>
  <c r="M168" i="4"/>
  <c r="N168" i="4" s="1"/>
  <c r="G168" i="4" s="1"/>
  <c r="F176" i="4"/>
  <c r="F184" i="4"/>
  <c r="H184" i="4" s="1"/>
  <c r="A184" i="8" s="1"/>
  <c r="M184" i="4"/>
  <c r="N184" i="4" s="1"/>
  <c r="G184" i="4" s="1"/>
  <c r="F192" i="4"/>
  <c r="H192" i="4" s="1"/>
  <c r="A192" i="8" s="1"/>
  <c r="G192" i="4"/>
  <c r="F200" i="4"/>
  <c r="H200" i="4" s="1"/>
  <c r="A200" i="8" s="1"/>
  <c r="M200" i="4"/>
  <c r="N200" i="4" s="1"/>
  <c r="G200" i="4" s="1"/>
  <c r="F208" i="4"/>
  <c r="H208" i="4" s="1"/>
  <c r="A208" i="8" s="1"/>
  <c r="G208" i="4"/>
  <c r="F212" i="4"/>
  <c r="M212" i="4"/>
  <c r="N212" i="4" s="1"/>
  <c r="G212" i="4" s="1"/>
  <c r="F220" i="4"/>
  <c r="H220" i="4" s="1"/>
  <c r="A220" i="8" s="1"/>
  <c r="M220" i="4"/>
  <c r="N220" i="4" s="1"/>
  <c r="G220" i="4" s="1"/>
  <c r="F232" i="4"/>
  <c r="M232" i="4"/>
  <c r="N232" i="4" s="1"/>
  <c r="G232" i="4" s="1"/>
  <c r="F240" i="4"/>
  <c r="H240" i="4" s="1"/>
  <c r="A240" i="8" s="1"/>
  <c r="F244" i="4"/>
  <c r="M244" i="4"/>
  <c r="N244" i="4" s="1"/>
  <c r="G244" i="4" s="1"/>
  <c r="F252" i="4"/>
  <c r="H252" i="4" s="1"/>
  <c r="A252" i="8" s="1"/>
  <c r="M252" i="4"/>
  <c r="N252" i="4" s="1"/>
  <c r="G252" i="4" s="1"/>
  <c r="F260" i="4"/>
  <c r="H260" i="4" s="1"/>
  <c r="A260" i="8" s="1"/>
  <c r="M260" i="4"/>
  <c r="N260" i="4" s="1"/>
  <c r="G260" i="4" s="1"/>
  <c r="F276" i="4"/>
  <c r="H276" i="4" s="1"/>
  <c r="A276" i="8" s="1"/>
  <c r="M276" i="4"/>
  <c r="N276" i="4" s="1"/>
  <c r="G276" i="4" s="1"/>
  <c r="F280" i="4"/>
  <c r="M280" i="4"/>
  <c r="N280" i="4" s="1"/>
  <c r="G280" i="4" s="1"/>
  <c r="F284" i="4"/>
  <c r="M284" i="4"/>
  <c r="N284" i="4" s="1"/>
  <c r="G284" i="4" s="1"/>
  <c r="F300" i="4"/>
  <c r="H300" i="4" s="1"/>
  <c r="A300" i="8" s="1"/>
  <c r="M300" i="4"/>
  <c r="N300" i="4" s="1"/>
  <c r="G300" i="4" s="1"/>
  <c r="M224" i="4"/>
  <c r="N224" i="4" s="1"/>
  <c r="G224" i="4" s="1"/>
  <c r="M52" i="4"/>
  <c r="N52" i="4" s="1"/>
  <c r="G52" i="4" s="1"/>
  <c r="F60" i="4"/>
  <c r="H60" i="4" s="1"/>
  <c r="M176" i="4"/>
  <c r="N176" i="4" s="1"/>
  <c r="G176" i="4" s="1"/>
  <c r="E176" i="4" s="1"/>
  <c r="M240" i="4"/>
  <c r="N240" i="4" s="1"/>
  <c r="G240" i="4" s="1"/>
  <c r="M304" i="4"/>
  <c r="N304" i="4" s="1"/>
  <c r="G304" i="4" s="1"/>
  <c r="E304" i="4" s="1"/>
  <c r="M56" i="4"/>
  <c r="N56" i="4" s="1"/>
  <c r="G56" i="4" s="1"/>
  <c r="F36" i="4"/>
  <c r="F104" i="4"/>
  <c r="H104" i="4" s="1"/>
  <c r="F41" i="4"/>
  <c r="H41" i="4" s="1"/>
  <c r="F49" i="4"/>
  <c r="H49" i="4" s="1"/>
  <c r="M49" i="4"/>
  <c r="N49" i="4" s="1"/>
  <c r="F57" i="4"/>
  <c r="H57" i="4" s="1"/>
  <c r="M57" i="4"/>
  <c r="N57" i="4" s="1"/>
  <c r="G57" i="4" s="1"/>
  <c r="M61" i="4"/>
  <c r="N61" i="4" s="1"/>
  <c r="G61" i="4" s="1"/>
  <c r="F61" i="4"/>
  <c r="F65" i="4"/>
  <c r="H65" i="4" s="1"/>
  <c r="M65" i="4"/>
  <c r="N65" i="4" s="1"/>
  <c r="G65" i="4" s="1"/>
  <c r="M69" i="4"/>
  <c r="N69" i="4" s="1"/>
  <c r="G69" i="4" s="1"/>
  <c r="F69" i="4"/>
  <c r="F73" i="4"/>
  <c r="H73" i="4" s="1"/>
  <c r="F77" i="4"/>
  <c r="H77" i="4" s="1"/>
  <c r="F81" i="4"/>
  <c r="F85" i="4"/>
  <c r="F101" i="4"/>
  <c r="H101" i="4" s="1"/>
  <c r="F105" i="4"/>
  <c r="H105" i="4" s="1"/>
  <c r="F109" i="4"/>
  <c r="F113" i="4"/>
  <c r="F117" i="4"/>
  <c r="H117" i="4" s="1"/>
  <c r="F133" i="4"/>
  <c r="H133" i="4" s="1"/>
  <c r="F137" i="4"/>
  <c r="H137" i="4" s="1"/>
  <c r="F141" i="4"/>
  <c r="F145" i="4"/>
  <c r="H145" i="4" s="1"/>
  <c r="F149" i="4"/>
  <c r="H149" i="4" s="1"/>
  <c r="G157" i="4"/>
  <c r="F165" i="4"/>
  <c r="H165" i="4" s="1"/>
  <c r="F169" i="4"/>
  <c r="H169" i="4" s="1"/>
  <c r="A169" i="8" s="1"/>
  <c r="F177" i="4"/>
  <c r="H177" i="4" s="1"/>
  <c r="A177" i="8" s="1"/>
  <c r="F181" i="4"/>
  <c r="F185" i="4"/>
  <c r="G189" i="4"/>
  <c r="F189" i="4"/>
  <c r="H189" i="4" s="1"/>
  <c r="A189" i="8" s="1"/>
  <c r="F197" i="4"/>
  <c r="F201" i="4"/>
  <c r="H201" i="4" s="1"/>
  <c r="A201" i="8" s="1"/>
  <c r="F205" i="4"/>
  <c r="H205" i="4" s="1"/>
  <c r="A205" i="8" s="1"/>
  <c r="G205" i="4"/>
  <c r="F209" i="4"/>
  <c r="H209" i="4" s="1"/>
  <c r="A209" i="8" s="1"/>
  <c r="F225" i="4"/>
  <c r="H225" i="4" s="1"/>
  <c r="A225" i="8" s="1"/>
  <c r="F229" i="4"/>
  <c r="H229" i="4" s="1"/>
  <c r="A229" i="8" s="1"/>
  <c r="F233" i="4"/>
  <c r="H233" i="4" s="1"/>
  <c r="A233" i="8" s="1"/>
  <c r="G237" i="4"/>
  <c r="F237" i="4"/>
  <c r="H237" i="4" s="1"/>
  <c r="A237" i="8" s="1"/>
  <c r="F241" i="4"/>
  <c r="H241" i="4" s="1"/>
  <c r="A241" i="8" s="1"/>
  <c r="F249" i="4"/>
  <c r="H249" i="4" s="1"/>
  <c r="A249" i="8" s="1"/>
  <c r="G253" i="4"/>
  <c r="F253" i="4"/>
  <c r="F257" i="4"/>
  <c r="F261" i="4"/>
  <c r="H261" i="4" s="1"/>
  <c r="A261" i="8" s="1"/>
  <c r="F269" i="4"/>
  <c r="G269" i="4"/>
  <c r="F273" i="4"/>
  <c r="H273" i="4" s="1"/>
  <c r="A273" i="8" s="1"/>
  <c r="F277" i="4"/>
  <c r="H277" i="4" s="1"/>
  <c r="A277" i="8" s="1"/>
  <c r="F281" i="4"/>
  <c r="H281" i="4" s="1"/>
  <c r="A281" i="8" s="1"/>
  <c r="F285" i="4"/>
  <c r="G285" i="4"/>
  <c r="E285" i="4" s="1"/>
  <c r="F293" i="4"/>
  <c r="H293" i="4" s="1"/>
  <c r="A293" i="8" s="1"/>
  <c r="F297" i="4"/>
  <c r="H297" i="4" s="1"/>
  <c r="A297" i="8" s="1"/>
  <c r="G301" i="4"/>
  <c r="F301" i="4"/>
  <c r="H301" i="4" s="1"/>
  <c r="A301" i="8" s="1"/>
  <c r="F305" i="4"/>
  <c r="H305" i="4" s="1"/>
  <c r="A305" i="8" s="1"/>
  <c r="M73" i="4"/>
  <c r="N73" i="4" s="1"/>
  <c r="G73" i="4" s="1"/>
  <c r="M81" i="4"/>
  <c r="N81" i="4" s="1"/>
  <c r="G81" i="4" s="1"/>
  <c r="M89" i="4"/>
  <c r="N89" i="4" s="1"/>
  <c r="G89" i="4" s="1"/>
  <c r="M97" i="4"/>
  <c r="N97" i="4" s="1"/>
  <c r="G97" i="4" s="1"/>
  <c r="M105" i="4"/>
  <c r="N105" i="4" s="1"/>
  <c r="G105" i="4" s="1"/>
  <c r="M113" i="4"/>
  <c r="N113" i="4" s="1"/>
  <c r="G113" i="4" s="1"/>
  <c r="M121" i="4"/>
  <c r="N121" i="4" s="1"/>
  <c r="G121" i="4" s="1"/>
  <c r="M129" i="4"/>
  <c r="N129" i="4" s="1"/>
  <c r="G129" i="4" s="1"/>
  <c r="M137" i="4"/>
  <c r="N137" i="4" s="1"/>
  <c r="G137" i="4" s="1"/>
  <c r="M141" i="4"/>
  <c r="N141" i="4" s="1"/>
  <c r="G141" i="4" s="1"/>
  <c r="M161" i="4"/>
  <c r="N161" i="4" s="1"/>
  <c r="G161" i="4" s="1"/>
  <c r="M177" i="4"/>
  <c r="N177" i="4" s="1"/>
  <c r="G177" i="4" s="1"/>
  <c r="M187" i="4"/>
  <c r="N187" i="4" s="1"/>
  <c r="G187" i="4" s="1"/>
  <c r="M193" i="4"/>
  <c r="N193" i="4" s="1"/>
  <c r="G193" i="4" s="1"/>
  <c r="M199" i="4"/>
  <c r="N199" i="4" s="1"/>
  <c r="G199" i="4" s="1"/>
  <c r="M209" i="4"/>
  <c r="N209" i="4" s="1"/>
  <c r="G209" i="4" s="1"/>
  <c r="M225" i="4"/>
  <c r="N225" i="4" s="1"/>
  <c r="G225" i="4" s="1"/>
  <c r="M241" i="4"/>
  <c r="N241" i="4" s="1"/>
  <c r="G241" i="4" s="1"/>
  <c r="M251" i="4"/>
  <c r="N251" i="4" s="1"/>
  <c r="G251" i="4" s="1"/>
  <c r="M257" i="4"/>
  <c r="N257" i="4" s="1"/>
  <c r="G257" i="4" s="1"/>
  <c r="M273" i="4"/>
  <c r="N273" i="4" s="1"/>
  <c r="G273" i="4" s="1"/>
  <c r="M289" i="4"/>
  <c r="N289" i="4" s="1"/>
  <c r="G289" i="4" s="1"/>
  <c r="M305" i="4"/>
  <c r="N305" i="4" s="1"/>
  <c r="G305" i="4" s="1"/>
  <c r="M29" i="4"/>
  <c r="N29" i="4" s="1"/>
  <c r="G29" i="4" s="1"/>
  <c r="M33" i="4"/>
  <c r="N33" i="4" s="1"/>
  <c r="G33" i="4" s="1"/>
  <c r="F23" i="4"/>
  <c r="F45" i="4"/>
  <c r="H45" i="4" s="1"/>
  <c r="G53" i="4"/>
  <c r="F89" i="4"/>
  <c r="H89" i="4" s="1"/>
  <c r="F157" i="4"/>
  <c r="F289" i="4"/>
  <c r="H289" i="4" s="1"/>
  <c r="A289" i="8" s="1"/>
  <c r="F74" i="4"/>
  <c r="H74" i="4" s="1"/>
  <c r="G78" i="4"/>
  <c r="G94" i="4"/>
  <c r="F94" i="4"/>
  <c r="H94" i="4" s="1"/>
  <c r="F98" i="4"/>
  <c r="H98" i="4" s="1"/>
  <c r="G102" i="4"/>
  <c r="F102" i="4"/>
  <c r="H102" i="4" s="1"/>
  <c r="F106" i="4"/>
  <c r="H106" i="4" s="1"/>
  <c r="G110" i="4"/>
  <c r="F122" i="4"/>
  <c r="G126" i="4"/>
  <c r="F126" i="4"/>
  <c r="H126" i="4" s="1"/>
  <c r="F130" i="4"/>
  <c r="H130" i="4" s="1"/>
  <c r="G134" i="4"/>
  <c r="F134" i="4"/>
  <c r="H134" i="4" s="1"/>
  <c r="F138" i="4"/>
  <c r="H138" i="4" s="1"/>
  <c r="F154" i="4"/>
  <c r="H154" i="4" s="1"/>
  <c r="G154" i="4"/>
  <c r="F158" i="4"/>
  <c r="F162" i="4"/>
  <c r="H162" i="4" s="1"/>
  <c r="G166" i="4"/>
  <c r="F166" i="4"/>
  <c r="H166" i="4" s="1"/>
  <c r="G170" i="4"/>
  <c r="F174" i="4"/>
  <c r="H174" i="4" s="1"/>
  <c r="A174" i="8" s="1"/>
  <c r="F182" i="4"/>
  <c r="H182" i="4" s="1"/>
  <c r="A182" i="8" s="1"/>
  <c r="G182" i="4"/>
  <c r="G186" i="4"/>
  <c r="F186" i="4"/>
  <c r="H186" i="4" s="1"/>
  <c r="A186" i="8" s="1"/>
  <c r="F194" i="4"/>
  <c r="H194" i="4" s="1"/>
  <c r="A194" i="8" s="1"/>
  <c r="F198" i="4"/>
  <c r="G198" i="4"/>
  <c r="G202" i="4"/>
  <c r="F202" i="4"/>
  <c r="H202" i="4" s="1"/>
  <c r="A202" i="8" s="1"/>
  <c r="F206" i="4"/>
  <c r="F214" i="4"/>
  <c r="G214" i="4"/>
  <c r="G218" i="4"/>
  <c r="F218" i="4"/>
  <c r="F222" i="4"/>
  <c r="F226" i="4"/>
  <c r="H226" i="4" s="1"/>
  <c r="A226" i="8" s="1"/>
  <c r="F230" i="4"/>
  <c r="H230" i="4" s="1"/>
  <c r="A230" i="8" s="1"/>
  <c r="G230" i="4"/>
  <c r="F234" i="4"/>
  <c r="H234" i="4" s="1"/>
  <c r="A234" i="8" s="1"/>
  <c r="G234" i="4"/>
  <c r="F242" i="4"/>
  <c r="H242" i="4" s="1"/>
  <c r="A242" i="8" s="1"/>
  <c r="F246" i="4"/>
  <c r="H246" i="4" s="1"/>
  <c r="A246" i="8" s="1"/>
  <c r="G246" i="4"/>
  <c r="F250" i="4"/>
  <c r="H250" i="4" s="1"/>
  <c r="A250" i="8" s="1"/>
  <c r="G250" i="4"/>
  <c r="F254" i="4"/>
  <c r="H254" i="4" s="1"/>
  <c r="A254" i="8" s="1"/>
  <c r="F258" i="4"/>
  <c r="G262" i="4"/>
  <c r="F262" i="4"/>
  <c r="H262" i="4" s="1"/>
  <c r="A262" i="8" s="1"/>
  <c r="F266" i="4"/>
  <c r="G266" i="4"/>
  <c r="F270" i="4"/>
  <c r="H270" i="4" s="1"/>
  <c r="A270" i="8" s="1"/>
  <c r="G278" i="4"/>
  <c r="F278" i="4"/>
  <c r="H278" i="4" s="1"/>
  <c r="A278" i="8" s="1"/>
  <c r="F282" i="4"/>
  <c r="G282" i="4"/>
  <c r="F286" i="4"/>
  <c r="H286" i="4" s="1"/>
  <c r="A286" i="8" s="1"/>
  <c r="F290" i="4"/>
  <c r="G294" i="4"/>
  <c r="F294" i="4"/>
  <c r="H294" i="4" s="1"/>
  <c r="A294" i="8" s="1"/>
  <c r="G298" i="4"/>
  <c r="E298" i="4" s="1"/>
  <c r="F298" i="4"/>
  <c r="F302" i="4"/>
  <c r="F306" i="4"/>
  <c r="H306" i="4" s="1"/>
  <c r="A306" i="8" s="1"/>
  <c r="M74" i="4"/>
  <c r="N74" i="4" s="1"/>
  <c r="G74" i="4" s="1"/>
  <c r="M82" i="4"/>
  <c r="N82" i="4" s="1"/>
  <c r="G82" i="4" s="1"/>
  <c r="M95" i="4"/>
  <c r="N95" i="4" s="1"/>
  <c r="G95" i="4" s="1"/>
  <c r="M98" i="4"/>
  <c r="N98" i="4" s="1"/>
  <c r="G98" i="4" s="1"/>
  <c r="M106" i="4"/>
  <c r="N106" i="4" s="1"/>
  <c r="G106" i="4" s="1"/>
  <c r="M114" i="4"/>
  <c r="N114" i="4" s="1"/>
  <c r="G114" i="4" s="1"/>
  <c r="M122" i="4"/>
  <c r="N122" i="4" s="1"/>
  <c r="G122" i="4" s="1"/>
  <c r="M127" i="4"/>
  <c r="N127" i="4" s="1"/>
  <c r="M130" i="4"/>
  <c r="N130" i="4" s="1"/>
  <c r="G130" i="4" s="1"/>
  <c r="M138" i="4"/>
  <c r="N138" i="4" s="1"/>
  <c r="G138" i="4" s="1"/>
  <c r="M145" i="4"/>
  <c r="N145" i="4" s="1"/>
  <c r="G145" i="4" s="1"/>
  <c r="M149" i="4"/>
  <c r="N149" i="4" s="1"/>
  <c r="G149" i="4" s="1"/>
  <c r="M158" i="4"/>
  <c r="N158" i="4" s="1"/>
  <c r="G158" i="4" s="1"/>
  <c r="M162" i="4"/>
  <c r="N162" i="4" s="1"/>
  <c r="G162" i="4" s="1"/>
  <c r="M165" i="4"/>
  <c r="N165" i="4" s="1"/>
  <c r="G165" i="4" s="1"/>
  <c r="M174" i="4"/>
  <c r="N174" i="4" s="1"/>
  <c r="G174" i="4" s="1"/>
  <c r="M178" i="4"/>
  <c r="N178" i="4" s="1"/>
  <c r="G178" i="4" s="1"/>
  <c r="M181" i="4"/>
  <c r="N181" i="4" s="1"/>
  <c r="G181" i="4" s="1"/>
  <c r="M190" i="4"/>
  <c r="N190" i="4" s="1"/>
  <c r="G190" i="4" s="1"/>
  <c r="M194" i="4"/>
  <c r="N194" i="4" s="1"/>
  <c r="G194" i="4" s="1"/>
  <c r="M197" i="4"/>
  <c r="N197" i="4" s="1"/>
  <c r="G197" i="4" s="1"/>
  <c r="M206" i="4"/>
  <c r="N206" i="4" s="1"/>
  <c r="G206" i="4" s="1"/>
  <c r="M210" i="4"/>
  <c r="N210" i="4" s="1"/>
  <c r="G210" i="4" s="1"/>
  <c r="M213" i="4"/>
  <c r="N213" i="4" s="1"/>
  <c r="G213" i="4" s="1"/>
  <c r="M222" i="4"/>
  <c r="N222" i="4" s="1"/>
  <c r="G222" i="4" s="1"/>
  <c r="M226" i="4"/>
  <c r="N226" i="4" s="1"/>
  <c r="G226" i="4" s="1"/>
  <c r="M229" i="4"/>
  <c r="N229" i="4" s="1"/>
  <c r="G229" i="4" s="1"/>
  <c r="M238" i="4"/>
  <c r="N238" i="4" s="1"/>
  <c r="G238" i="4" s="1"/>
  <c r="M242" i="4"/>
  <c r="N242" i="4" s="1"/>
  <c r="G242" i="4" s="1"/>
  <c r="M245" i="4"/>
  <c r="N245" i="4" s="1"/>
  <c r="G245" i="4" s="1"/>
  <c r="M254" i="4"/>
  <c r="N254" i="4" s="1"/>
  <c r="G254" i="4" s="1"/>
  <c r="M258" i="4"/>
  <c r="N258" i="4" s="1"/>
  <c r="G258" i="4" s="1"/>
  <c r="M261" i="4"/>
  <c r="N261" i="4" s="1"/>
  <c r="G261" i="4" s="1"/>
  <c r="M270" i="4"/>
  <c r="N270" i="4" s="1"/>
  <c r="G270" i="4" s="1"/>
  <c r="M274" i="4"/>
  <c r="N274" i="4" s="1"/>
  <c r="G274" i="4" s="1"/>
  <c r="M277" i="4"/>
  <c r="N277" i="4" s="1"/>
  <c r="G277" i="4" s="1"/>
  <c r="M286" i="4"/>
  <c r="N286" i="4" s="1"/>
  <c r="G286" i="4" s="1"/>
  <c r="M290" i="4"/>
  <c r="N290" i="4" s="1"/>
  <c r="G290" i="4" s="1"/>
  <c r="M293" i="4"/>
  <c r="N293" i="4" s="1"/>
  <c r="G293" i="4" s="1"/>
  <c r="M302" i="4"/>
  <c r="N302" i="4" s="1"/>
  <c r="G302" i="4" s="1"/>
  <c r="M306" i="4"/>
  <c r="N306" i="4" s="1"/>
  <c r="G306" i="4" s="1"/>
  <c r="M23" i="4"/>
  <c r="N23" i="4" s="1"/>
  <c r="G23" i="4" s="1"/>
  <c r="M37" i="4"/>
  <c r="N37" i="4" s="1"/>
  <c r="G37" i="4" s="1"/>
  <c r="M41" i="4"/>
  <c r="N41" i="4" s="1"/>
  <c r="G41" i="4" s="1"/>
  <c r="F29" i="4"/>
  <c r="H29" i="4" s="1"/>
  <c r="F125" i="4"/>
  <c r="H125" i="4" s="1"/>
  <c r="F142" i="4"/>
  <c r="F213" i="4"/>
  <c r="H213" i="4" s="1"/>
  <c r="A213" i="8" s="1"/>
  <c r="F66" i="4"/>
  <c r="H66" i="4" s="1"/>
  <c r="M66" i="4"/>
  <c r="N66" i="4" s="1"/>
  <c r="G66" i="4" s="1"/>
  <c r="F70" i="4"/>
  <c r="G70" i="4"/>
  <c r="F90" i="4"/>
  <c r="H90" i="4" s="1"/>
  <c r="G90" i="4"/>
  <c r="F19" i="4"/>
  <c r="H19" i="4" s="1"/>
  <c r="M19" i="4"/>
  <c r="N19" i="4" s="1"/>
  <c r="G19" i="4" s="1"/>
  <c r="F27" i="4"/>
  <c r="H27" i="4" s="1"/>
  <c r="M27" i="4"/>
  <c r="N27" i="4" s="1"/>
  <c r="F35" i="4"/>
  <c r="H35" i="4" s="1"/>
  <c r="M35" i="4"/>
  <c r="N35" i="4" s="1"/>
  <c r="G35" i="4" s="1"/>
  <c r="F43" i="4"/>
  <c r="H43" i="4" s="1"/>
  <c r="M43" i="4"/>
  <c r="N43" i="4" s="1"/>
  <c r="G43" i="4" s="1"/>
  <c r="F51" i="4"/>
  <c r="M51" i="4"/>
  <c r="N51" i="4" s="1"/>
  <c r="G51" i="4" s="1"/>
  <c r="M55" i="4"/>
  <c r="N55" i="4" s="1"/>
  <c r="G55" i="4" s="1"/>
  <c r="F55" i="4"/>
  <c r="H55" i="4" s="1"/>
  <c r="F59" i="4"/>
  <c r="H59" i="4" s="1"/>
  <c r="M59" i="4"/>
  <c r="N59" i="4" s="1"/>
  <c r="G59" i="4" s="1"/>
  <c r="M63" i="4"/>
  <c r="N63" i="4" s="1"/>
  <c r="G63" i="4" s="1"/>
  <c r="F63" i="4"/>
  <c r="F67" i="4"/>
  <c r="H67" i="4" s="1"/>
  <c r="M67" i="4"/>
  <c r="N67" i="4" s="1"/>
  <c r="G67" i="4" s="1"/>
  <c r="G75" i="4"/>
  <c r="F75" i="4"/>
  <c r="H75" i="4" s="1"/>
  <c r="F79" i="4"/>
  <c r="G79" i="4"/>
  <c r="G83" i="4"/>
  <c r="F83" i="4"/>
  <c r="H83" i="4" s="1"/>
  <c r="F87" i="4"/>
  <c r="G87" i="4"/>
  <c r="G91" i="4"/>
  <c r="F99" i="4"/>
  <c r="H99" i="4" s="1"/>
  <c r="F103" i="4"/>
  <c r="H103" i="4" s="1"/>
  <c r="G103" i="4"/>
  <c r="G107" i="4"/>
  <c r="F107" i="4"/>
  <c r="F111" i="4"/>
  <c r="H111" i="4" s="1"/>
  <c r="G111" i="4"/>
  <c r="G115" i="4"/>
  <c r="F115" i="4"/>
  <c r="H115" i="4" s="1"/>
  <c r="F119" i="4"/>
  <c r="H119" i="4" s="1"/>
  <c r="G119" i="4"/>
  <c r="F131" i="4"/>
  <c r="H131" i="4" s="1"/>
  <c r="F135" i="4"/>
  <c r="H135" i="4" s="1"/>
  <c r="G135" i="4"/>
  <c r="F139" i="4"/>
  <c r="H139" i="4" s="1"/>
  <c r="F143" i="4"/>
  <c r="H143" i="4" s="1"/>
  <c r="G143" i="4"/>
  <c r="G147" i="4"/>
  <c r="F147" i="4"/>
  <c r="H147" i="4" s="1"/>
  <c r="F151" i="4"/>
  <c r="H151" i="4" s="1"/>
  <c r="G151" i="4"/>
  <c r="G155" i="4"/>
  <c r="F163" i="4"/>
  <c r="H163" i="4" s="1"/>
  <c r="F167" i="4"/>
  <c r="H167" i="4" s="1"/>
  <c r="A167" i="8" s="1"/>
  <c r="G167" i="4"/>
  <c r="F171" i="4"/>
  <c r="H171" i="4" s="1"/>
  <c r="A171" i="8" s="1"/>
  <c r="G171" i="4"/>
  <c r="F175" i="4"/>
  <c r="H175" i="4" s="1"/>
  <c r="A175" i="8" s="1"/>
  <c r="F179" i="4"/>
  <c r="H179" i="4" s="1"/>
  <c r="A179" i="8" s="1"/>
  <c r="G183" i="4"/>
  <c r="F183" i="4"/>
  <c r="H183" i="4" s="1"/>
  <c r="A183" i="8" s="1"/>
  <c r="F191" i="4"/>
  <c r="H191" i="4" s="1"/>
  <c r="A191" i="8" s="1"/>
  <c r="F195" i="4"/>
  <c r="H195" i="4" s="1"/>
  <c r="A195" i="8" s="1"/>
  <c r="F203" i="4"/>
  <c r="H203" i="4" s="1"/>
  <c r="A203" i="8" s="1"/>
  <c r="G203" i="4"/>
  <c r="F211" i="4"/>
  <c r="H211" i="4" s="1"/>
  <c r="A211" i="8" s="1"/>
  <c r="G215" i="4"/>
  <c r="F215" i="4"/>
  <c r="H215" i="4" s="1"/>
  <c r="A215" i="8" s="1"/>
  <c r="F219" i="4"/>
  <c r="H219" i="4" s="1"/>
  <c r="A219" i="8" s="1"/>
  <c r="G219" i="4"/>
  <c r="F223" i="4"/>
  <c r="F227" i="4"/>
  <c r="H227" i="4" s="1"/>
  <c r="A227" i="8" s="1"/>
  <c r="F231" i="4"/>
  <c r="H231" i="4" s="1"/>
  <c r="A231" i="8" s="1"/>
  <c r="G231" i="4"/>
  <c r="F235" i="4"/>
  <c r="H235" i="4" s="1"/>
  <c r="A235" i="8" s="1"/>
  <c r="G235" i="4"/>
  <c r="F239" i="4"/>
  <c r="H239" i="4" s="1"/>
  <c r="A239" i="8" s="1"/>
  <c r="F243" i="4"/>
  <c r="H243" i="4" s="1"/>
  <c r="A243" i="8" s="1"/>
  <c r="F247" i="4"/>
  <c r="H247" i="4" s="1"/>
  <c r="A247" i="8" s="1"/>
  <c r="G247" i="4"/>
  <c r="F255" i="4"/>
  <c r="H255" i="4" s="1"/>
  <c r="A255" i="8" s="1"/>
  <c r="F259" i="4"/>
  <c r="H259" i="4" s="1"/>
  <c r="A259" i="8" s="1"/>
  <c r="F263" i="4"/>
  <c r="H263" i="4" s="1"/>
  <c r="A263" i="8" s="1"/>
  <c r="G263" i="4"/>
  <c r="G267" i="4"/>
  <c r="F267" i="4"/>
  <c r="H267" i="4" s="1"/>
  <c r="A267" i="8" s="1"/>
  <c r="F271" i="4"/>
  <c r="H271" i="4" s="1"/>
  <c r="A271" i="8" s="1"/>
  <c r="F275" i="4"/>
  <c r="H275" i="4" s="1"/>
  <c r="A275" i="8" s="1"/>
  <c r="G279" i="4"/>
  <c r="E279" i="4" s="1"/>
  <c r="F279" i="4"/>
  <c r="H279" i="4" s="1"/>
  <c r="A279" i="8" s="1"/>
  <c r="G283" i="4"/>
  <c r="F283" i="4"/>
  <c r="H283" i="4" s="1"/>
  <c r="A283" i="8" s="1"/>
  <c r="F287" i="4"/>
  <c r="H287" i="4" s="1"/>
  <c r="A287" i="8" s="1"/>
  <c r="F291" i="4"/>
  <c r="H291" i="4" s="1"/>
  <c r="A291" i="8" s="1"/>
  <c r="G295" i="4"/>
  <c r="F295" i="4"/>
  <c r="H295" i="4" s="1"/>
  <c r="A295" i="8" s="1"/>
  <c r="F299" i="4"/>
  <c r="H299" i="4" s="1"/>
  <c r="A299" i="8" s="1"/>
  <c r="G299" i="4"/>
  <c r="F303" i="4"/>
  <c r="H303" i="4" s="1"/>
  <c r="A303" i="8" s="1"/>
  <c r="M77" i="4"/>
  <c r="N77" i="4" s="1"/>
  <c r="G77" i="4" s="1"/>
  <c r="M85" i="4"/>
  <c r="N85" i="4" s="1"/>
  <c r="G85" i="4" s="1"/>
  <c r="M93" i="4"/>
  <c r="N93" i="4" s="1"/>
  <c r="G93" i="4" s="1"/>
  <c r="M101" i="4"/>
  <c r="N101" i="4" s="1"/>
  <c r="G101" i="4" s="1"/>
  <c r="M109" i="4"/>
  <c r="N109" i="4" s="1"/>
  <c r="G109" i="4" s="1"/>
  <c r="M117" i="4"/>
  <c r="N117" i="4" s="1"/>
  <c r="G117" i="4" s="1"/>
  <c r="M125" i="4"/>
  <c r="N125" i="4" s="1"/>
  <c r="G125" i="4" s="1"/>
  <c r="M133" i="4"/>
  <c r="N133" i="4" s="1"/>
  <c r="G133" i="4" s="1"/>
  <c r="M139" i="4"/>
  <c r="N139" i="4" s="1"/>
  <c r="G139" i="4" s="1"/>
  <c r="M142" i="4"/>
  <c r="N142" i="4" s="1"/>
  <c r="G142" i="4" s="1"/>
  <c r="M146" i="4"/>
  <c r="N146" i="4" s="1"/>
  <c r="G146" i="4" s="1"/>
  <c r="M153" i="4"/>
  <c r="N153" i="4" s="1"/>
  <c r="G153" i="4" s="1"/>
  <c r="M159" i="4"/>
  <c r="N159" i="4" s="1"/>
  <c r="G159" i="4" s="1"/>
  <c r="M163" i="4"/>
  <c r="N163" i="4" s="1"/>
  <c r="G163" i="4" s="1"/>
  <c r="M169" i="4"/>
  <c r="N169" i="4" s="1"/>
  <c r="G169" i="4" s="1"/>
  <c r="M175" i="4"/>
  <c r="N175" i="4" s="1"/>
  <c r="G175" i="4" s="1"/>
  <c r="M179" i="4"/>
  <c r="N179" i="4" s="1"/>
  <c r="G179" i="4" s="1"/>
  <c r="M185" i="4"/>
  <c r="N185" i="4" s="1"/>
  <c r="G185" i="4" s="1"/>
  <c r="M191" i="4"/>
  <c r="N191" i="4" s="1"/>
  <c r="G191" i="4" s="1"/>
  <c r="M195" i="4"/>
  <c r="N195" i="4" s="1"/>
  <c r="G195" i="4" s="1"/>
  <c r="M201" i="4"/>
  <c r="N201" i="4" s="1"/>
  <c r="G201" i="4" s="1"/>
  <c r="M207" i="4"/>
  <c r="N207" i="4" s="1"/>
  <c r="G207" i="4" s="1"/>
  <c r="M211" i="4"/>
  <c r="N211" i="4" s="1"/>
  <c r="G211" i="4" s="1"/>
  <c r="M217" i="4"/>
  <c r="N217" i="4" s="1"/>
  <c r="G217" i="4" s="1"/>
  <c r="M223" i="4"/>
  <c r="N223" i="4" s="1"/>
  <c r="G223" i="4" s="1"/>
  <c r="M227" i="4"/>
  <c r="N227" i="4" s="1"/>
  <c r="G227" i="4" s="1"/>
  <c r="M233" i="4"/>
  <c r="N233" i="4" s="1"/>
  <c r="G233" i="4" s="1"/>
  <c r="M239" i="4"/>
  <c r="N239" i="4" s="1"/>
  <c r="G239" i="4" s="1"/>
  <c r="M243" i="4"/>
  <c r="N243" i="4" s="1"/>
  <c r="G243" i="4" s="1"/>
  <c r="M249" i="4"/>
  <c r="N249" i="4" s="1"/>
  <c r="G249" i="4" s="1"/>
  <c r="E249" i="4" s="1"/>
  <c r="M255" i="4"/>
  <c r="N255" i="4" s="1"/>
  <c r="G255" i="4" s="1"/>
  <c r="M259" i="4"/>
  <c r="N259" i="4" s="1"/>
  <c r="G259" i="4" s="1"/>
  <c r="M265" i="4"/>
  <c r="N265" i="4" s="1"/>
  <c r="G265" i="4" s="1"/>
  <c r="M271" i="4"/>
  <c r="N271" i="4" s="1"/>
  <c r="G271" i="4" s="1"/>
  <c r="M275" i="4"/>
  <c r="N275" i="4" s="1"/>
  <c r="G275" i="4" s="1"/>
  <c r="M281" i="4"/>
  <c r="N281" i="4" s="1"/>
  <c r="G281" i="4" s="1"/>
  <c r="M287" i="4"/>
  <c r="N287" i="4" s="1"/>
  <c r="G287" i="4" s="1"/>
  <c r="M291" i="4"/>
  <c r="N291" i="4" s="1"/>
  <c r="G291" i="4" s="1"/>
  <c r="M297" i="4"/>
  <c r="N297" i="4" s="1"/>
  <c r="G297" i="4" s="1"/>
  <c r="M303" i="4"/>
  <c r="N303" i="4" s="1"/>
  <c r="G303" i="4" s="1"/>
  <c r="M31" i="4"/>
  <c r="N31" i="4" s="1"/>
  <c r="G31" i="4" s="1"/>
  <c r="M45" i="4"/>
  <c r="N45" i="4" s="1"/>
  <c r="G45" i="4" s="1"/>
  <c r="M62" i="4"/>
  <c r="N62" i="4" s="1"/>
  <c r="G62" i="4" s="1"/>
  <c r="G27" i="4"/>
  <c r="F47" i="4"/>
  <c r="H47" i="4" s="1"/>
  <c r="G49" i="4"/>
  <c r="F93" i="4"/>
  <c r="H93" i="4" s="1"/>
  <c r="F110" i="4"/>
  <c r="H110" i="4" s="1"/>
  <c r="G118" i="4"/>
  <c r="G127" i="4"/>
  <c r="F153" i="4"/>
  <c r="H153" i="4" s="1"/>
  <c r="F170" i="4"/>
  <c r="H170" i="4" s="1"/>
  <c r="A170" i="8" s="1"/>
  <c r="F193" i="4"/>
  <c r="H193" i="4" s="1"/>
  <c r="A193" i="8" s="1"/>
  <c r="F217" i="4"/>
  <c r="H217" i="4" s="1"/>
  <c r="A217" i="8" s="1"/>
  <c r="H33" i="4"/>
  <c r="H253" i="4"/>
  <c r="A253" i="8" s="1"/>
  <c r="H285" i="4"/>
  <c r="A285" i="8" s="1"/>
  <c r="H269" i="4"/>
  <c r="A269" i="8" s="1"/>
  <c r="H248" i="4"/>
  <c r="A248" i="8" s="1"/>
  <c r="H232" i="4"/>
  <c r="A232" i="8" s="1"/>
  <c r="H216" i="4"/>
  <c r="A216" i="8" s="1"/>
  <c r="H120" i="4"/>
  <c r="H296" i="4"/>
  <c r="A296" i="8" s="1"/>
  <c r="H280" i="4"/>
  <c r="A280" i="8" s="1"/>
  <c r="H264" i="4"/>
  <c r="A264" i="8" s="1"/>
  <c r="H245" i="4"/>
  <c r="A245" i="8" s="1"/>
  <c r="H256" i="4"/>
  <c r="A256" i="8" s="1"/>
  <c r="H85" i="4"/>
  <c r="H251" i="4"/>
  <c r="A251" i="8" s="1"/>
  <c r="H199" i="4"/>
  <c r="A199" i="8" s="1"/>
  <c r="H24" i="4"/>
  <c r="H32" i="4"/>
  <c r="H64" i="4"/>
  <c r="H80" i="4"/>
  <c r="H88" i="4"/>
  <c r="H100" i="4"/>
  <c r="H156" i="4"/>
  <c r="H160" i="4"/>
  <c r="H176" i="4"/>
  <c r="A176" i="8" s="1"/>
  <c r="H180" i="4"/>
  <c r="A180" i="8" s="1"/>
  <c r="H298" i="4"/>
  <c r="A298" i="8" s="1"/>
  <c r="H282" i="4"/>
  <c r="A282" i="8" s="1"/>
  <c r="H258" i="4"/>
  <c r="A258" i="8" s="1"/>
  <c r="H206" i="4"/>
  <c r="A206" i="8" s="1"/>
  <c r="H198" i="4"/>
  <c r="A198" i="8" s="1"/>
  <c r="H148" i="4"/>
  <c r="H128" i="4"/>
  <c r="H107" i="4"/>
  <c r="H95" i="4"/>
  <c r="H82" i="4"/>
  <c r="H23" i="4"/>
  <c r="H39" i="4"/>
  <c r="H51" i="4"/>
  <c r="H91" i="4"/>
  <c r="H25" i="4"/>
  <c r="H81" i="4"/>
  <c r="H97" i="4"/>
  <c r="H109" i="4"/>
  <c r="H121" i="4"/>
  <c r="H129" i="4"/>
  <c r="H141" i="4"/>
  <c r="H157" i="4"/>
  <c r="H161" i="4"/>
  <c r="H173" i="4"/>
  <c r="A173" i="8" s="1"/>
  <c r="H181" i="4"/>
  <c r="A181" i="8" s="1"/>
  <c r="H185" i="4"/>
  <c r="A185" i="8" s="1"/>
  <c r="H284" i="4"/>
  <c r="A284" i="8" s="1"/>
  <c r="H265" i="4"/>
  <c r="A265" i="8" s="1"/>
  <c r="H257" i="4"/>
  <c r="A257" i="8" s="1"/>
  <c r="H244" i="4"/>
  <c r="A244" i="8" s="1"/>
  <c r="H223" i="4"/>
  <c r="A223" i="8" s="1"/>
  <c r="H197" i="4"/>
  <c r="A197" i="8" s="1"/>
  <c r="H146" i="4"/>
  <c r="H78" i="4"/>
  <c r="M71" i="4"/>
  <c r="N71" i="4" s="1"/>
  <c r="G71" i="4" s="1"/>
  <c r="F71" i="4"/>
  <c r="H71" i="4" s="1"/>
  <c r="H79" i="4"/>
  <c r="H87" i="4"/>
  <c r="H123" i="4"/>
  <c r="H127" i="4"/>
  <c r="H159" i="4"/>
  <c r="H187" i="4"/>
  <c r="A187" i="8" s="1"/>
  <c r="H21" i="4"/>
  <c r="H37" i="4"/>
  <c r="H61" i="4"/>
  <c r="H69" i="4"/>
  <c r="H30" i="4"/>
  <c r="H38" i="4"/>
  <c r="H42" i="4"/>
  <c r="H46" i="4"/>
  <c r="H62" i="4"/>
  <c r="H70" i="4"/>
  <c r="H86" i="4"/>
  <c r="H114" i="4"/>
  <c r="H118" i="4"/>
  <c r="H122" i="4"/>
  <c r="H142" i="4"/>
  <c r="H150" i="4"/>
  <c r="H158" i="4"/>
  <c r="H178" i="4"/>
  <c r="A178" i="8" s="1"/>
  <c r="H190" i="4"/>
  <c r="A190" i="8" s="1"/>
  <c r="H222" i="4"/>
  <c r="A222" i="8" s="1"/>
  <c r="H212" i="4"/>
  <c r="A212" i="8" s="1"/>
  <c r="H210" i="4"/>
  <c r="A210" i="8" s="1"/>
  <c r="H207" i="4"/>
  <c r="A207" i="8" s="1"/>
  <c r="H113" i="4"/>
  <c r="H63" i="4"/>
  <c r="H31" i="4"/>
  <c r="H68" i="4"/>
  <c r="H48" i="4"/>
  <c r="H302" i="4"/>
  <c r="A302" i="8" s="1"/>
  <c r="H221" i="4"/>
  <c r="A221" i="8" s="1"/>
  <c r="H266" i="4"/>
  <c r="A266" i="8" s="1"/>
  <c r="H290" i="4"/>
  <c r="A290" i="8" s="1"/>
  <c r="H274" i="4"/>
  <c r="A274" i="8" s="1"/>
  <c r="H36" i="4"/>
  <c r="H238" i="4"/>
  <c r="A238" i="8" s="1"/>
  <c r="H218" i="4"/>
  <c r="A218" i="8" s="1"/>
  <c r="H214" i="4"/>
  <c r="A214" i="8" s="1"/>
  <c r="H40" i="4"/>
  <c r="L17" i="4"/>
  <c r="I17" i="4" s="1"/>
  <c r="L13" i="4"/>
  <c r="I13" i="4" s="1"/>
  <c r="L9" i="4"/>
  <c r="I9" i="4" s="1"/>
  <c r="L5" i="4"/>
  <c r="I5" i="4" s="1"/>
  <c r="L16" i="4"/>
  <c r="I16" i="4" s="1"/>
  <c r="L12" i="4"/>
  <c r="I12" i="4" s="1"/>
  <c r="L8" i="4"/>
  <c r="I8" i="4" s="1"/>
  <c r="L4" i="4"/>
  <c r="I4" i="4" s="1"/>
  <c r="L3" i="4"/>
  <c r="I3" i="4" s="1"/>
  <c r="L15" i="4"/>
  <c r="I15" i="4" s="1"/>
  <c r="L11" i="4"/>
  <c r="I11" i="4" s="1"/>
  <c r="B17" i="4"/>
  <c r="C17" i="8"/>
  <c r="B16" i="4"/>
  <c r="C16" i="8"/>
  <c r="B3" i="4"/>
  <c r="C3" i="8"/>
  <c r="B4" i="4"/>
  <c r="C4" i="8"/>
  <c r="B13" i="4"/>
  <c r="C13" i="8"/>
  <c r="B12" i="4"/>
  <c r="C12" i="8"/>
  <c r="B15" i="4"/>
  <c r="C15" i="8"/>
  <c r="B9" i="4"/>
  <c r="C9" i="8"/>
  <c r="B8" i="4"/>
  <c r="C8" i="8"/>
  <c r="B11" i="4"/>
  <c r="C11" i="8"/>
  <c r="B5" i="4"/>
  <c r="C5" i="8"/>
  <c r="B5" i="1" l="1"/>
  <c r="B11" i="1"/>
  <c r="B8" i="1"/>
  <c r="B9" i="1"/>
  <c r="B15" i="1"/>
  <c r="B12" i="1"/>
  <c r="B13" i="1"/>
  <c r="B4" i="1"/>
  <c r="B3" i="1"/>
  <c r="B16" i="1"/>
  <c r="B17" i="1"/>
  <c r="E82" i="4"/>
  <c r="E20" i="4"/>
  <c r="E128" i="4"/>
  <c r="F9" i="4"/>
  <c r="M9" i="4"/>
  <c r="N9" i="4" s="1"/>
  <c r="G9" i="4" s="1"/>
  <c r="E9" i="4" s="1"/>
  <c r="E74" i="4"/>
  <c r="E100" i="4"/>
  <c r="F15" i="4"/>
  <c r="M15" i="4"/>
  <c r="N15" i="4" s="1"/>
  <c r="G15" i="4" s="1"/>
  <c r="F12" i="4"/>
  <c r="M12" i="4"/>
  <c r="N12" i="4" s="1"/>
  <c r="G12" i="4" s="1"/>
  <c r="M13" i="4"/>
  <c r="N13" i="4" s="1"/>
  <c r="G13" i="4" s="1"/>
  <c r="F13" i="4"/>
  <c r="M8" i="4"/>
  <c r="N8" i="4" s="1"/>
  <c r="G8" i="4" s="1"/>
  <c r="E8" i="4" s="1"/>
  <c r="F8" i="4"/>
  <c r="E104" i="4"/>
  <c r="F11" i="4"/>
  <c r="M11" i="4"/>
  <c r="N11" i="4" s="1"/>
  <c r="G11" i="4" s="1"/>
  <c r="E11" i="4" s="1"/>
  <c r="F3" i="4"/>
  <c r="M3" i="4"/>
  <c r="N3" i="4" s="1"/>
  <c r="G3" i="4" s="1"/>
  <c r="E3" i="4" s="1"/>
  <c r="F16" i="4"/>
  <c r="M16" i="4"/>
  <c r="N16" i="4" s="1"/>
  <c r="G16" i="4" s="1"/>
  <c r="F17" i="4"/>
  <c r="M17" i="4"/>
  <c r="N17" i="4" s="1"/>
  <c r="G17" i="4" s="1"/>
  <c r="F4" i="4"/>
  <c r="M4" i="4"/>
  <c r="N4" i="4" s="1"/>
  <c r="G4" i="4" s="1"/>
  <c r="E4" i="4" s="1"/>
  <c r="F5" i="4"/>
  <c r="M5" i="4"/>
  <c r="N5" i="4" s="1"/>
  <c r="G5" i="4" s="1"/>
  <c r="E5" i="4" s="1"/>
  <c r="E91" i="4"/>
  <c r="E132" i="4"/>
  <c r="L7" i="4"/>
  <c r="I7" i="4" s="1"/>
  <c r="L6" i="4"/>
  <c r="I6" i="4" s="1"/>
  <c r="L10" i="4"/>
  <c r="I10" i="4" s="1"/>
  <c r="L14" i="4"/>
  <c r="I14" i="4" s="1"/>
  <c r="L18" i="4"/>
  <c r="I18" i="4" s="1"/>
  <c r="B157" i="8"/>
  <c r="D158" i="8"/>
  <c r="B158" i="8"/>
  <c r="D159" i="8"/>
  <c r="B159" i="8"/>
  <c r="D160" i="8"/>
  <c r="B160" i="8"/>
  <c r="D161" i="8"/>
  <c r="B161" i="8"/>
  <c r="D162" i="8"/>
  <c r="B162" i="8"/>
  <c r="D163" i="8"/>
  <c r="B163" i="8"/>
  <c r="D164" i="8"/>
  <c r="B164" i="8"/>
  <c r="D165" i="8"/>
  <c r="B165" i="8"/>
  <c r="D166" i="8"/>
  <c r="B166" i="8"/>
  <c r="B106" i="8"/>
  <c r="D107" i="8"/>
  <c r="B107" i="8"/>
  <c r="D108" i="8"/>
  <c r="B108" i="8"/>
  <c r="D109" i="8"/>
  <c r="B109" i="8"/>
  <c r="D110" i="8"/>
  <c r="B110" i="8"/>
  <c r="D111" i="8"/>
  <c r="B111" i="8"/>
  <c r="D112" i="8"/>
  <c r="B112" i="8"/>
  <c r="D113" i="8"/>
  <c r="B113" i="8"/>
  <c r="D114" i="8"/>
  <c r="B114" i="8"/>
  <c r="D115" i="8"/>
  <c r="B115" i="8"/>
  <c r="D116" i="8"/>
  <c r="B116" i="8"/>
  <c r="D117" i="8"/>
  <c r="B117" i="8"/>
  <c r="D118" i="8"/>
  <c r="B118" i="8"/>
  <c r="D119" i="8"/>
  <c r="B119" i="8"/>
  <c r="D120" i="8"/>
  <c r="B120" i="8"/>
  <c r="D121" i="8"/>
  <c r="B121" i="8"/>
  <c r="D122" i="8"/>
  <c r="B122" i="8"/>
  <c r="D123" i="8"/>
  <c r="B123" i="8"/>
  <c r="D124" i="8"/>
  <c r="B124" i="8"/>
  <c r="D125" i="8"/>
  <c r="B125" i="8"/>
  <c r="D126" i="8"/>
  <c r="B126" i="8"/>
  <c r="D127" i="8"/>
  <c r="B127" i="8"/>
  <c r="D128" i="8"/>
  <c r="B128" i="8"/>
  <c r="D129" i="8"/>
  <c r="B129" i="8"/>
  <c r="D130" i="8"/>
  <c r="B130" i="8"/>
  <c r="D131" i="8"/>
  <c r="B131" i="8"/>
  <c r="D132" i="8"/>
  <c r="B132" i="8"/>
  <c r="D133" i="8"/>
  <c r="B133" i="8"/>
  <c r="D134" i="8"/>
  <c r="B134" i="8"/>
  <c r="D135" i="8"/>
  <c r="B135" i="8"/>
  <c r="D136" i="8"/>
  <c r="B136" i="8"/>
  <c r="D137" i="8"/>
  <c r="B137" i="8"/>
  <c r="D138" i="8"/>
  <c r="B138" i="8"/>
  <c r="D139" i="8"/>
  <c r="B139" i="8"/>
  <c r="D140" i="8"/>
  <c r="B140" i="8"/>
  <c r="D141" i="8"/>
  <c r="B141" i="8"/>
  <c r="D142" i="8"/>
  <c r="B142" i="8"/>
  <c r="D143" i="8"/>
  <c r="B143" i="8"/>
  <c r="D144" i="8"/>
  <c r="B144" i="8"/>
  <c r="D145" i="8"/>
  <c r="B145" i="8"/>
  <c r="D146" i="8"/>
  <c r="B146" i="8"/>
  <c r="D147" i="8"/>
  <c r="B147" i="8"/>
  <c r="D148" i="8"/>
  <c r="B148" i="8"/>
  <c r="D149" i="8"/>
  <c r="B149" i="8"/>
  <c r="D150" i="8"/>
  <c r="B150" i="8"/>
  <c r="D151" i="8"/>
  <c r="B151" i="8"/>
  <c r="D152" i="8"/>
  <c r="B152" i="8"/>
  <c r="D153" i="8"/>
  <c r="B153" i="8"/>
  <c r="D154" i="8"/>
  <c r="B154" i="8"/>
  <c r="D155" i="8"/>
  <c r="B155" i="8"/>
  <c r="D156" i="8"/>
  <c r="B156" i="8"/>
  <c r="D157" i="8"/>
  <c r="B74" i="8"/>
  <c r="D75" i="8"/>
  <c r="B75" i="8"/>
  <c r="D76" i="8"/>
  <c r="B76" i="8"/>
  <c r="D77" i="8"/>
  <c r="B77" i="8"/>
  <c r="D78" i="8"/>
  <c r="B78" i="8"/>
  <c r="D79" i="8"/>
  <c r="B79" i="8"/>
  <c r="D80" i="8"/>
  <c r="B80" i="8"/>
  <c r="D81" i="8"/>
  <c r="B81" i="8"/>
  <c r="D82" i="8"/>
  <c r="B82" i="8"/>
  <c r="D83" i="8"/>
  <c r="B83" i="8"/>
  <c r="D84" i="8"/>
  <c r="B84" i="8"/>
  <c r="D85" i="8"/>
  <c r="B85" i="8"/>
  <c r="D86" i="8"/>
  <c r="B86" i="8"/>
  <c r="D87" i="8"/>
  <c r="B87" i="8"/>
  <c r="D88" i="8"/>
  <c r="B88" i="8"/>
  <c r="D89" i="8"/>
  <c r="B89" i="8"/>
  <c r="D90" i="8"/>
  <c r="B90" i="8"/>
  <c r="D91" i="8"/>
  <c r="B91" i="8"/>
  <c r="D92" i="8"/>
  <c r="B92" i="8"/>
  <c r="D93" i="8"/>
  <c r="B93" i="8"/>
  <c r="D94" i="8"/>
  <c r="B94" i="8"/>
  <c r="D95" i="8"/>
  <c r="B95" i="8"/>
  <c r="D96" i="8"/>
  <c r="B96" i="8"/>
  <c r="D97" i="8"/>
  <c r="B97" i="8"/>
  <c r="D98" i="8"/>
  <c r="B98" i="8"/>
  <c r="D99" i="8"/>
  <c r="B99" i="8"/>
  <c r="D100" i="8"/>
  <c r="B100" i="8"/>
  <c r="D101" i="8"/>
  <c r="B101" i="8"/>
  <c r="D102" i="8"/>
  <c r="B102" i="8"/>
  <c r="D103" i="8"/>
  <c r="B103" i="8"/>
  <c r="D104" i="8"/>
  <c r="B104" i="8"/>
  <c r="D105" i="8"/>
  <c r="B105" i="8"/>
  <c r="D106" i="8"/>
  <c r="B58" i="8"/>
  <c r="D59" i="8"/>
  <c r="B59" i="8"/>
  <c r="D60" i="8"/>
  <c r="B60" i="8"/>
  <c r="D61" i="8"/>
  <c r="B61" i="8"/>
  <c r="D62" i="8"/>
  <c r="B62" i="8"/>
  <c r="D63" i="8"/>
  <c r="B63" i="8"/>
  <c r="D64" i="8"/>
  <c r="B64" i="8"/>
  <c r="D65" i="8"/>
  <c r="B65" i="8"/>
  <c r="D66" i="8"/>
  <c r="B66" i="8"/>
  <c r="D67" i="8"/>
  <c r="B67" i="8"/>
  <c r="D68" i="8"/>
  <c r="B68" i="8"/>
  <c r="D69" i="8"/>
  <c r="B69" i="8"/>
  <c r="D70" i="8"/>
  <c r="B70" i="8"/>
  <c r="D71" i="8"/>
  <c r="B71" i="8"/>
  <c r="D72" i="8"/>
  <c r="B72" i="8"/>
  <c r="D73" i="8"/>
  <c r="B73" i="8"/>
  <c r="D74" i="8"/>
  <c r="D49" i="8"/>
  <c r="D50" i="8"/>
  <c r="D51" i="8"/>
  <c r="D52" i="8"/>
  <c r="D53" i="8"/>
  <c r="D54" i="8"/>
  <c r="D55" i="8"/>
  <c r="D56" i="8"/>
  <c r="D57" i="8"/>
  <c r="D58" i="8"/>
  <c r="B44" i="8"/>
  <c r="D45" i="8"/>
  <c r="B45" i="8"/>
  <c r="D46" i="8"/>
  <c r="B46" i="8"/>
  <c r="D47" i="8"/>
  <c r="B47" i="8"/>
  <c r="D48" i="8"/>
  <c r="B48" i="8"/>
  <c r="B49" i="8"/>
  <c r="B50" i="8"/>
  <c r="B51" i="8"/>
  <c r="B52" i="8"/>
  <c r="B53" i="8"/>
  <c r="B54" i="8"/>
  <c r="B55" i="8"/>
  <c r="B56" i="8"/>
  <c r="B57" i="8"/>
  <c r="B9" i="8"/>
  <c r="D10" i="8"/>
  <c r="D11" i="8"/>
  <c r="B11" i="8"/>
  <c r="D12" i="8"/>
  <c r="B12" i="8"/>
  <c r="D13" i="8"/>
  <c r="B13" i="8"/>
  <c r="D14" i="8"/>
  <c r="B14" i="8"/>
  <c r="D15" i="8"/>
  <c r="B15" i="8"/>
  <c r="D16" i="8"/>
  <c r="B16" i="8"/>
  <c r="D17" i="8"/>
  <c r="B17" i="8"/>
  <c r="D18" i="8"/>
  <c r="B18" i="8"/>
  <c r="D19" i="8"/>
  <c r="B19" i="8"/>
  <c r="D20" i="8"/>
  <c r="B20" i="8"/>
  <c r="D21" i="8"/>
  <c r="B21" i="8"/>
  <c r="D22" i="8"/>
  <c r="B22" i="8"/>
  <c r="D23" i="8"/>
  <c r="B23" i="8"/>
  <c r="D24" i="8"/>
  <c r="B24" i="8"/>
  <c r="D25" i="8"/>
  <c r="B25" i="8"/>
  <c r="D26" i="8"/>
  <c r="B26" i="8"/>
  <c r="D27" i="8"/>
  <c r="B27" i="8"/>
  <c r="D28" i="8"/>
  <c r="B28" i="8"/>
  <c r="D29" i="8"/>
  <c r="B29" i="8"/>
  <c r="D30" i="8"/>
  <c r="B30" i="8"/>
  <c r="D31" i="8"/>
  <c r="B31" i="8"/>
  <c r="D32" i="8"/>
  <c r="B32" i="8"/>
  <c r="D33" i="8"/>
  <c r="B33" i="8"/>
  <c r="D34" i="8"/>
  <c r="B34" i="8"/>
  <c r="D35" i="8"/>
  <c r="B35" i="8"/>
  <c r="D36" i="8"/>
  <c r="B36" i="8"/>
  <c r="D37" i="8"/>
  <c r="B37" i="8"/>
  <c r="D38" i="8"/>
  <c r="B38" i="8"/>
  <c r="D39" i="8"/>
  <c r="B39" i="8"/>
  <c r="D40" i="8"/>
  <c r="B40" i="8"/>
  <c r="D41" i="8"/>
  <c r="B41" i="8"/>
  <c r="D42" i="8"/>
  <c r="B42" i="8"/>
  <c r="D43" i="8"/>
  <c r="B43" i="8"/>
  <c r="D4" i="8"/>
  <c r="D5" i="8"/>
  <c r="D6" i="8"/>
  <c r="D7" i="8"/>
  <c r="D8" i="8"/>
  <c r="D9" i="8"/>
  <c r="D3" i="8"/>
  <c r="B3" i="8"/>
  <c r="B4" i="8"/>
  <c r="B5" i="8"/>
  <c r="B7" i="8"/>
  <c r="B8" i="8"/>
  <c r="B2" i="8"/>
  <c r="A2" i="8"/>
  <c r="B14" i="4"/>
  <c r="C14" i="8"/>
  <c r="B7" i="4"/>
  <c r="C7" i="8"/>
  <c r="B18" i="4"/>
  <c r="C18" i="8"/>
  <c r="B6" i="4"/>
  <c r="C6" i="8"/>
  <c r="B10" i="4"/>
  <c r="C10" i="8"/>
  <c r="B10" i="1" l="1"/>
  <c r="B6" i="1"/>
  <c r="B18" i="1"/>
  <c r="B7" i="1"/>
  <c r="B14" i="1"/>
  <c r="B6" i="8"/>
  <c r="E16" i="4"/>
  <c r="E15" i="4"/>
  <c r="F6" i="4"/>
  <c r="M6" i="4"/>
  <c r="N6" i="4" s="1"/>
  <c r="G6" i="4" s="1"/>
  <c r="E6" i="4" s="1"/>
  <c r="E92" i="4"/>
  <c r="E58" i="4"/>
  <c r="E196" i="4"/>
  <c r="E292" i="4"/>
  <c r="E200" i="4"/>
  <c r="E252" i="4"/>
  <c r="E261" i="4"/>
  <c r="E78" i="4"/>
  <c r="E134" i="4"/>
  <c r="E306" i="4"/>
  <c r="E75" i="4"/>
  <c r="E111" i="4"/>
  <c r="E203" i="4"/>
  <c r="E161" i="4"/>
  <c r="E151" i="4"/>
  <c r="E256" i="4"/>
  <c r="E89" i="4"/>
  <c r="E53" i="4"/>
  <c r="E170" i="4"/>
  <c r="E90" i="4"/>
  <c r="E247" i="4"/>
  <c r="E49" i="4"/>
  <c r="E157" i="4"/>
  <c r="E186" i="4"/>
  <c r="E266" i="4"/>
  <c r="E115" i="4"/>
  <c r="E171" i="4"/>
  <c r="E146" i="4"/>
  <c r="E12" i="4"/>
  <c r="E21" i="4"/>
  <c r="E221" i="4"/>
  <c r="E216" i="4"/>
  <c r="E80" i="4"/>
  <c r="E208" i="4"/>
  <c r="E57" i="4"/>
  <c r="E109" i="4"/>
  <c r="E165" i="4"/>
  <c r="E273" i="4"/>
  <c r="E31" i="4"/>
  <c r="E130" i="4"/>
  <c r="E198" i="4"/>
  <c r="E37" i="4"/>
  <c r="E67" i="4"/>
  <c r="E263" i="4"/>
  <c r="E288" i="4"/>
  <c r="E105" i="4"/>
  <c r="E242" i="4"/>
  <c r="E101" i="4"/>
  <c r="E195" i="4"/>
  <c r="E281" i="4"/>
  <c r="E270" i="4"/>
  <c r="E223" i="4"/>
  <c r="E65" i="4"/>
  <c r="E227" i="4"/>
  <c r="E97" i="4"/>
  <c r="E211" i="4"/>
  <c r="E48" i="4"/>
  <c r="E241" i="4"/>
  <c r="E206" i="4"/>
  <c r="E179" i="4"/>
  <c r="E142" i="4"/>
  <c r="E177" i="4"/>
  <c r="E62" i="4"/>
  <c r="E180" i="4"/>
  <c r="E210" i="4"/>
  <c r="E209" i="4"/>
  <c r="E22" i="4"/>
  <c r="E61" i="4"/>
  <c r="F18" i="4"/>
  <c r="M18" i="4"/>
  <c r="N18" i="4" s="1"/>
  <c r="G18" i="4" s="1"/>
  <c r="E18" i="4" s="1"/>
  <c r="F7" i="4"/>
  <c r="H7" i="4" s="1"/>
  <c r="M7" i="4"/>
  <c r="N7" i="4" s="1"/>
  <c r="G7" i="4" s="1"/>
  <c r="E7" i="4" s="1"/>
  <c r="E116" i="4"/>
  <c r="E30" i="4"/>
  <c r="E204" i="4"/>
  <c r="E296" i="4"/>
  <c r="E212" i="4"/>
  <c r="E280" i="4"/>
  <c r="E301" i="4"/>
  <c r="E98" i="4"/>
  <c r="E202" i="4"/>
  <c r="E95" i="4"/>
  <c r="E83" i="4"/>
  <c r="E147" i="4"/>
  <c r="E267" i="4"/>
  <c r="E238" i="4"/>
  <c r="E17" i="4"/>
  <c r="E215" i="4"/>
  <c r="E34" i="4"/>
  <c r="E36" i="4"/>
  <c r="E121" i="4"/>
  <c r="E94" i="4"/>
  <c r="E182" i="4"/>
  <c r="E107" i="4"/>
  <c r="E299" i="4"/>
  <c r="E118" i="4"/>
  <c r="E269" i="4"/>
  <c r="E214" i="4"/>
  <c r="E278" i="4"/>
  <c r="E123" i="4"/>
  <c r="E199" i="4"/>
  <c r="E66" i="4"/>
  <c r="E13" i="4"/>
  <c r="E40" i="4"/>
  <c r="E44" i="4"/>
  <c r="E236" i="4"/>
  <c r="E88" i="4"/>
  <c r="E232" i="4"/>
  <c r="E69" i="4"/>
  <c r="E117" i="4"/>
  <c r="E185" i="4"/>
  <c r="E289" i="4"/>
  <c r="E187" i="4"/>
  <c r="E158" i="4"/>
  <c r="E218" i="4"/>
  <c r="E150" i="4"/>
  <c r="E79" i="4"/>
  <c r="E27" i="4"/>
  <c r="E152" i="4"/>
  <c r="E224" i="4"/>
  <c r="E137" i="4"/>
  <c r="E286" i="4"/>
  <c r="E133" i="4"/>
  <c r="E217" i="4"/>
  <c r="E303" i="4"/>
  <c r="E23" i="4"/>
  <c r="E287" i="4"/>
  <c r="E145" i="4"/>
  <c r="E291" i="4"/>
  <c r="E29" i="4"/>
  <c r="E172" i="4"/>
  <c r="E52" i="4"/>
  <c r="E114" i="4"/>
  <c r="E245" i="4"/>
  <c r="E305" i="4"/>
  <c r="E271" i="4"/>
  <c r="E194" i="4"/>
  <c r="E156" i="4"/>
  <c r="E248" i="4"/>
  <c r="E293" i="4"/>
  <c r="E213" i="4"/>
  <c r="E54" i="4"/>
  <c r="E257" i="4"/>
  <c r="F14" i="4"/>
  <c r="M14" i="4"/>
  <c r="N14" i="4" s="1"/>
  <c r="G14" i="4" s="1"/>
  <c r="E14" i="4" s="1"/>
  <c r="E47" i="4"/>
  <c r="E148" i="4"/>
  <c r="E72" i="4"/>
  <c r="E228" i="4"/>
  <c r="E120" i="4"/>
  <c r="E220" i="4"/>
  <c r="E197" i="4"/>
  <c r="E33" i="4"/>
  <c r="E106" i="4"/>
  <c r="E234" i="4"/>
  <c r="E19" i="4"/>
  <c r="E155" i="4"/>
  <c r="E275" i="4"/>
  <c r="E71" i="4"/>
  <c r="E87" i="4"/>
  <c r="E235" i="4"/>
  <c r="E99" i="4"/>
  <c r="E84" i="4"/>
  <c r="E189" i="4"/>
  <c r="E102" i="4"/>
  <c r="E282" i="4"/>
  <c r="E119" i="4"/>
  <c r="E163" i="4"/>
  <c r="E265" i="4"/>
  <c r="E131" i="4"/>
  <c r="E25" i="4"/>
  <c r="E230" i="4"/>
  <c r="E294" i="4"/>
  <c r="E135" i="4"/>
  <c r="E219" i="4"/>
  <c r="E127" i="4"/>
  <c r="E96" i="4"/>
  <c r="E68" i="4"/>
  <c r="E144" i="4"/>
  <c r="E260" i="4"/>
  <c r="E77" i="4"/>
  <c r="E141" i="4"/>
  <c r="E193" i="4"/>
  <c r="E297" i="4"/>
  <c r="E166" i="4"/>
  <c r="E262" i="4"/>
  <c r="E70" i="4"/>
  <c r="E183" i="4"/>
  <c r="E46" i="4"/>
  <c r="E240" i="4"/>
  <c r="E225" i="4"/>
  <c r="E51" i="4"/>
  <c r="E153" i="4"/>
  <c r="E239" i="4"/>
  <c r="E162" i="4"/>
  <c r="E159" i="4"/>
  <c r="E24" i="4"/>
  <c r="E229" i="4"/>
  <c r="E112" i="4"/>
  <c r="E258" i="4"/>
  <c r="E38" i="4"/>
  <c r="E81" i="4"/>
  <c r="E138" i="4"/>
  <c r="E290" i="4"/>
  <c r="E190" i="4"/>
  <c r="E86" i="4"/>
  <c r="E41" i="4"/>
  <c r="E42" i="4"/>
  <c r="E264" i="4"/>
  <c r="E45" i="4"/>
  <c r="E277" i="4"/>
  <c r="E140" i="4"/>
  <c r="E125" i="4"/>
  <c r="B10" i="8"/>
  <c r="F10" i="4"/>
  <c r="M10" i="4"/>
  <c r="N10" i="4" s="1"/>
  <c r="G10" i="4" s="1"/>
  <c r="E10" i="4" s="1"/>
  <c r="E28" i="4"/>
  <c r="E26" i="4"/>
  <c r="E164" i="4"/>
  <c r="E272" i="4"/>
  <c r="E244" i="4"/>
  <c r="E237" i="4"/>
  <c r="E251" i="4"/>
  <c r="E126" i="4"/>
  <c r="E246" i="4"/>
  <c r="E35" i="4"/>
  <c r="E103" i="4"/>
  <c r="E167" i="4"/>
  <c r="E283" i="4"/>
  <c r="E139" i="4"/>
  <c r="E255" i="4"/>
  <c r="E64" i="4"/>
  <c r="E32" i="4"/>
  <c r="E173" i="4"/>
  <c r="E205" i="4"/>
  <c r="E110" i="4"/>
  <c r="E178" i="4"/>
  <c r="E231" i="4"/>
  <c r="E207" i="4"/>
  <c r="E192" i="4"/>
  <c r="E154" i="4"/>
  <c r="E250" i="4"/>
  <c r="E39" i="4"/>
  <c r="E143" i="4"/>
  <c r="E295" i="4"/>
  <c r="E43" i="4"/>
  <c r="E108" i="4"/>
  <c r="E76" i="4"/>
  <c r="E184" i="4"/>
  <c r="E284" i="4"/>
  <c r="E85" i="4"/>
  <c r="E149" i="4"/>
  <c r="E253" i="4"/>
  <c r="E129" i="4"/>
  <c r="E122" i="4"/>
  <c r="E174" i="4"/>
  <c r="E302" i="4"/>
  <c r="E63" i="4"/>
  <c r="E243" i="4"/>
  <c r="E188" i="4"/>
  <c r="E73" i="4"/>
  <c r="E222" i="4"/>
  <c r="E59" i="4"/>
  <c r="E175" i="4"/>
  <c r="E259" i="4"/>
  <c r="E226" i="4"/>
  <c r="E201" i="4"/>
  <c r="E56" i="4"/>
  <c r="E274" i="4"/>
  <c r="E300" i="4"/>
  <c r="E93" i="4"/>
  <c r="E50" i="4"/>
  <c r="E113" i="4"/>
  <c r="E181" i="4"/>
  <c r="E55" i="4"/>
  <c r="E254" i="4"/>
  <c r="E276" i="4"/>
  <c r="E169" i="4"/>
  <c r="E124" i="4"/>
  <c r="E168" i="4"/>
  <c r="E160" i="4"/>
  <c r="E191" i="4"/>
  <c r="E60" i="4"/>
  <c r="E233" i="4"/>
  <c r="H9" i="4"/>
  <c r="H11" i="4"/>
  <c r="H13" i="4"/>
  <c r="F2" i="4"/>
  <c r="A91" i="8" l="1"/>
  <c r="A81" i="8"/>
  <c r="A89" i="8"/>
  <c r="A52" i="8"/>
  <c r="A71" i="8"/>
  <c r="A95" i="8"/>
  <c r="A87" i="8"/>
  <c r="A63" i="8"/>
  <c r="A60" i="8"/>
  <c r="A67" i="8"/>
  <c r="A13" i="8"/>
  <c r="A97" i="8"/>
  <c r="A11" i="8"/>
  <c r="A25" i="8"/>
  <c r="A9" i="8"/>
  <c r="A48" i="8"/>
  <c r="A40" i="8"/>
  <c r="A75" i="8"/>
  <c r="A59" i="8"/>
  <c r="A79" i="8"/>
  <c r="A7" i="8"/>
  <c r="A29" i="8"/>
  <c r="A83" i="8"/>
  <c r="H3" i="4"/>
  <c r="H8" i="4"/>
  <c r="H4" i="4"/>
  <c r="H15" i="4"/>
  <c r="H18" i="4"/>
  <c r="H14" i="4"/>
  <c r="H10" i="4"/>
  <c r="H6" i="4"/>
  <c r="H17" i="4"/>
  <c r="H5" i="4"/>
  <c r="H16" i="4"/>
  <c r="H12" i="4"/>
  <c r="A136" i="8" l="1"/>
  <c r="A53" i="8"/>
  <c r="A30" i="8"/>
  <c r="A158" i="8"/>
  <c r="A107" i="8"/>
  <c r="A8" i="8"/>
  <c r="A108" i="8"/>
  <c r="A17" i="8"/>
  <c r="A133" i="8"/>
  <c r="A98" i="8"/>
  <c r="A111" i="8"/>
  <c r="A32" i="8"/>
  <c r="A80" i="8"/>
  <c r="A112" i="8"/>
  <c r="A144" i="8"/>
  <c r="A21" i="8"/>
  <c r="A61" i="8"/>
  <c r="A105" i="8"/>
  <c r="A137" i="8"/>
  <c r="A6" i="8"/>
  <c r="A38" i="8"/>
  <c r="A70" i="8"/>
  <c r="A102" i="8"/>
  <c r="A134" i="8"/>
  <c r="A166" i="8"/>
  <c r="A43" i="8"/>
  <c r="A115" i="8"/>
  <c r="A147" i="8"/>
  <c r="A36" i="8"/>
  <c r="A84" i="8"/>
  <c r="A116" i="8"/>
  <c r="A148" i="8"/>
  <c r="A33" i="8"/>
  <c r="A65" i="8"/>
  <c r="A109" i="8"/>
  <c r="A141" i="8"/>
  <c r="A10" i="8"/>
  <c r="A42" i="8"/>
  <c r="A74" i="8"/>
  <c r="A106" i="8"/>
  <c r="A138" i="8"/>
  <c r="A15" i="8"/>
  <c r="A47" i="8"/>
  <c r="A119" i="8"/>
  <c r="A151" i="8"/>
  <c r="A104" i="8"/>
  <c r="A93" i="8"/>
  <c r="A62" i="8"/>
  <c r="A139" i="8"/>
  <c r="A76" i="8"/>
  <c r="A57" i="8"/>
  <c r="A165" i="8"/>
  <c r="A162" i="8"/>
  <c r="A3" i="8"/>
  <c r="A120" i="8"/>
  <c r="A69" i="8"/>
  <c r="A14" i="8"/>
  <c r="A78" i="8"/>
  <c r="A110" i="8"/>
  <c r="A19" i="8"/>
  <c r="A123" i="8"/>
  <c r="A155" i="8"/>
  <c r="A12" i="8"/>
  <c r="A56" i="8"/>
  <c r="A92" i="8"/>
  <c r="A124" i="8"/>
  <c r="A156" i="8"/>
  <c r="A41" i="8"/>
  <c r="A73" i="8"/>
  <c r="A117" i="8"/>
  <c r="A149" i="8"/>
  <c r="A18" i="8"/>
  <c r="A50" i="8"/>
  <c r="A82" i="8"/>
  <c r="A114" i="8"/>
  <c r="A146" i="8"/>
  <c r="A23" i="8"/>
  <c r="A55" i="8"/>
  <c r="A127" i="8"/>
  <c r="A159" i="8"/>
  <c r="A72" i="8"/>
  <c r="A161" i="8"/>
  <c r="A94" i="8"/>
  <c r="A35" i="8"/>
  <c r="A28" i="8"/>
  <c r="A66" i="8"/>
  <c r="A44" i="8"/>
  <c r="A152" i="8"/>
  <c r="A113" i="8"/>
  <c r="A46" i="8"/>
  <c r="A142" i="8"/>
  <c r="A16" i="8"/>
  <c r="A64" i="8"/>
  <c r="A96" i="8"/>
  <c r="A128" i="8"/>
  <c r="A160" i="8"/>
  <c r="A45" i="8"/>
  <c r="A77" i="8"/>
  <c r="A121" i="8"/>
  <c r="A153" i="8"/>
  <c r="A22" i="8"/>
  <c r="A54" i="8"/>
  <c r="A86" i="8"/>
  <c r="A118" i="8"/>
  <c r="A150" i="8"/>
  <c r="A27" i="8"/>
  <c r="A99" i="8"/>
  <c r="A131" i="8"/>
  <c r="A163" i="8"/>
  <c r="A24" i="8"/>
  <c r="A5" i="8"/>
  <c r="A129" i="8"/>
  <c r="A126" i="8"/>
  <c r="A140" i="8"/>
  <c r="A101" i="8"/>
  <c r="A34" i="8"/>
  <c r="A130" i="8"/>
  <c r="A39" i="8"/>
  <c r="A143" i="8"/>
  <c r="A88" i="8"/>
  <c r="A37" i="8"/>
  <c r="A145" i="8"/>
  <c r="A51" i="8"/>
  <c r="A20" i="8"/>
  <c r="A68" i="8"/>
  <c r="A100" i="8"/>
  <c r="A132" i="8"/>
  <c r="A164" i="8"/>
  <c r="A49" i="8"/>
  <c r="A85" i="8"/>
  <c r="A125" i="8"/>
  <c r="A157" i="8"/>
  <c r="A26" i="8"/>
  <c r="A58" i="8"/>
  <c r="A90" i="8"/>
  <c r="A122" i="8"/>
  <c r="A154" i="8"/>
  <c r="A31" i="8"/>
  <c r="A103" i="8"/>
  <c r="A135" i="8"/>
  <c r="A4" i="8"/>
</calcChain>
</file>

<file path=xl/comments1.xml><?xml version="1.0" encoding="utf-8"?>
<comments xmlns="http://schemas.openxmlformats.org/spreadsheetml/2006/main">
  <authors>
    <author>Vlasov</author>
    <author>Размахнина</author>
  </authors>
  <commentList>
    <comment ref="D1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Weight - </t>
        </r>
        <r>
          <rPr>
            <sz val="9"/>
            <color indexed="81"/>
            <rFont val="Tahoma"/>
            <family val="2"/>
            <charset val="204"/>
          </rPr>
          <t xml:space="preserve">копировать на лист node - это начальный вес узлов
</t>
        </r>
      </text>
    </comment>
    <comment ref="E1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Target 
</t>
        </r>
        <r>
          <rPr>
            <sz val="9"/>
            <color indexed="81"/>
            <rFont val="Tahoma"/>
            <family val="2"/>
            <charset val="204"/>
          </rPr>
          <t>копировать на лист edge</t>
        </r>
      </text>
    </comment>
    <comment ref="M1" authorId="1">
      <text>
        <r>
          <rPr>
            <sz val="9"/>
            <color indexed="81"/>
            <rFont val="Tahoma"/>
            <family val="2"/>
            <charset val="204"/>
          </rPr>
          <t>Если последний номер после точки из двух цифр, то в номере колонки "Направление" появляется лишняя точка</t>
        </r>
      </text>
    </comment>
  </commentList>
</comments>
</file>

<file path=xl/comments2.xml><?xml version="1.0" encoding="utf-8"?>
<comments xmlns="http://schemas.openxmlformats.org/spreadsheetml/2006/main">
  <authors>
    <author>Arlen</author>
  </authors>
  <commentList>
    <comment ref="D1" authorId="0">
      <text>
        <r>
          <rPr>
            <sz val="9"/>
            <color indexed="81"/>
            <rFont val="Tahoma"/>
            <family val="2"/>
            <charset val="204"/>
          </rPr>
          <t xml:space="preserve">Экономическая эффективность оценивается в соотношении: 
а) сохранности жизни и здоровья личного состава подразделения, сохранность техники и имущества подразделения;
б) спасенных на пожарах людей и имущества.
Все это вместе взатое в соотношении к затраченным ресурсам на содержание (значения шкалы в интервале от 0 до 10) </t>
        </r>
      </text>
    </comment>
  </commentList>
</comments>
</file>

<file path=xl/comments3.xml><?xml version="1.0" encoding="utf-8"?>
<comments xmlns="http://schemas.openxmlformats.org/spreadsheetml/2006/main">
  <authors>
    <author>Vlasov</author>
    <author>Размахнина</author>
    <author>Arlen</author>
  </authors>
  <commentList>
    <comment ref="D1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Weight - </t>
        </r>
        <r>
          <rPr>
            <sz val="9"/>
            <color indexed="81"/>
            <rFont val="Tahoma"/>
            <family val="2"/>
            <charset val="204"/>
          </rPr>
          <t xml:space="preserve">копировать на лист node - это начальный вес узлов
</t>
        </r>
      </text>
    </comment>
    <comment ref="E1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Target 
</t>
        </r>
        <r>
          <rPr>
            <sz val="9"/>
            <color indexed="81"/>
            <rFont val="Tahoma"/>
            <family val="2"/>
            <charset val="204"/>
          </rPr>
          <t>копировать на лист edge</t>
        </r>
      </text>
    </comment>
    <comment ref="M1" authorId="1">
      <text>
        <r>
          <rPr>
            <sz val="9"/>
            <color indexed="81"/>
            <rFont val="Tahoma"/>
            <family val="2"/>
            <charset val="204"/>
          </rPr>
          <t>Если последний номер после точки из двух цифр, то в номере колонки "Направление" появляется лишняя точка</t>
        </r>
      </text>
    </comment>
    <comment ref="AA3" authorId="2">
      <text>
        <r>
          <rPr>
            <sz val="9"/>
            <color indexed="81"/>
            <rFont val="Tahoma"/>
            <family val="2"/>
            <charset val="204"/>
          </rPr>
          <t xml:space="preserve">Округл1(ОКРУГЛ(НОРМОБР(СЛЧИС();$D3;Z$2);0);10)
</t>
        </r>
      </text>
    </comment>
  </commentList>
</comments>
</file>

<file path=xl/connections.xml><?xml version="1.0" encoding="utf-8"?>
<connections xmlns="http://schemas.openxmlformats.org/spreadsheetml/2006/main">
  <connection id="1" name="edge_exp" type="6" refreshedVersion="4" background="1" saveData="1">
    <textPr codePage="866" sourceFile="C:\Users\Vlasov\Documents\edge_exp.csv" decimal="," thousands=" " comma="1">
      <textFields count="7">
        <textField/>
        <textField/>
        <textField/>
        <textField/>
        <textField/>
        <textField/>
        <textField/>
      </textFields>
    </textPr>
  </connection>
  <connection id="2" name="edge1" type="6" refreshedVersion="4" background="1" saveData="1">
    <textPr codePage="866" sourceFile="C:\Users\Vlasov\Documents\edge.csv" decimal="," thousands=" " comma="1">
      <textFields count="7">
        <textField/>
        <textField/>
        <textField/>
        <textField/>
        <textField/>
        <textField/>
        <textField/>
      </textFields>
    </textPr>
  </connection>
  <connection id="3" name="node" type="6" refreshedVersion="4" background="1" saveData="1">
    <textPr codePage="866" sourceFile="C:\Users\Vlasov\Documents\node.csv" decimal="," thousands=" " comma="1">
      <textFields count="3">
        <textField/>
        <textField/>
        <textField/>
      </textFields>
    </textPr>
  </connection>
  <connection id="4" name="node_exp" type="6" refreshedVersion="4" background="1" saveData="1">
    <textPr codePage="866" sourceFile="C:\Users\Vlasov\Documents\node_exp.csv" decimal="," thousands=" " comma="1">
      <textFields count="3">
        <textField/>
        <textField/>
        <textField/>
      </textFields>
    </textPr>
  </connection>
  <connection id="5" name="node1" type="6" refreshedVersion="4" background="1" saveData="1">
    <textPr codePage="866" sourceFile="C:\Users\Vlasov\Documents\node.csv" decimal="," thousands=" " comma="1">
      <textFields count="3">
        <textField/>
        <textField/>
        <textField/>
      </textFields>
    </textPr>
  </connection>
  <connection id="6" name="node11" type="6" refreshedVersion="4" background="1" saveData="1">
    <textPr codePage="866" sourceFile="C:\Users\Vlasov\Documents\node.csv" decimal="," thousands=" " comma="1">
      <textFields count="3">
        <textField/>
        <textField/>
        <textField/>
      </textFields>
    </textPr>
  </connection>
  <connection id="7" name="node2" type="6" refreshedVersion="4" background="1" saveData="1">
    <textPr codePage="866" sourceFile="C:\Users\Vlasov\Documents\node.csv" decimal="," thousands=" " comma="1">
      <textFields count="3">
        <textField/>
        <textField/>
        <textField/>
      </textFields>
    </textPr>
  </connection>
  <connection id="8" name="node21" type="6" refreshedVersion="4" background="1" saveData="1">
    <textPr codePage="866" sourceFile="C:\Users\Vlasov\Documents\node.csv" decimal="," thousands=" " comma="1">
      <textFields count="3">
        <textField/>
        <textField/>
        <textField/>
      </textFields>
    </textPr>
  </connection>
  <connection id="9" name="node3" type="6" refreshedVersion="4" background="1" saveData="1">
    <textPr codePage="866" sourceFile="C:\Users\Vlasov\Documents\node.csv" decimal="," thousands=" " comma="1">
      <textFields count="3"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<sst xmlns="http://schemas.openxmlformats.org/spreadsheetml/2006/main" count="1033" uniqueCount="678">
  <si>
    <t>Id</t>
  </si>
  <si>
    <t>Label</t>
  </si>
  <si>
    <t>timeset</t>
  </si>
  <si>
    <t>Target</t>
  </si>
  <si>
    <t>Weight</t>
  </si>
  <si>
    <t>Длинна</t>
  </si>
  <si>
    <t>1.1.                    Повышение уровня обучения личного состава</t>
  </si>
  <si>
    <t>1.1.1.1.     Правильная постановка цели обучения</t>
  </si>
  <si>
    <t>1.1.1.2.     Правильное планирование учебной нагрузки на учебный год</t>
  </si>
  <si>
    <t>1.1.1.3.     Правильная организация занятий в период дежурства</t>
  </si>
  <si>
    <t>1.1.2. Специальное оборудованное помещение (класс)</t>
  </si>
  <si>
    <t>1.1.3. Объекты для отработки специальных навыков (на территории подразделения)</t>
  </si>
  <si>
    <t>1.1.3.3.     Действия в условиях высокой температуры</t>
  </si>
  <si>
    <t>1.1.3.4.     Оказание помощи и транспортировка пострадавшего</t>
  </si>
  <si>
    <t>1.1.3.5.     Боевое развертывание и установка на водоисточник</t>
  </si>
  <si>
    <t>1.1.3.6.     Выполнение аварийных работ</t>
  </si>
  <si>
    <t>1.1.3.7.     Работа со средствами связи</t>
  </si>
  <si>
    <t>1.1.3.8.     Работа с автомобильными и механизированными средствами</t>
  </si>
  <si>
    <t xml:space="preserve">1.1.3.9.     Работа с информационными средствами </t>
  </si>
  <si>
    <t>1.1.4. Объекты для общефизической подготовки (на территории подразделения)</t>
  </si>
  <si>
    <t xml:space="preserve">1.1.4.1.     Повышение физической выносливости </t>
  </si>
  <si>
    <t>1.1.4.2.     Повышение быстроты движений</t>
  </si>
  <si>
    <t>1.1.4.3.     Повышение скорости реакции</t>
  </si>
  <si>
    <t>1.1.4.4.     Повышение физической силы</t>
  </si>
  <si>
    <t>1.2.                    Повышение уровня ежедневного технического обслуживания техники</t>
  </si>
  <si>
    <t>1.2.3. Формирование культуры работы с техникой</t>
  </si>
  <si>
    <t>1.2.4. Повышение уровня технических знаний</t>
  </si>
  <si>
    <t>1.2.5. Формирование навыков правильной работы с техникой</t>
  </si>
  <si>
    <t>1.4.                    Обеспечение бытовых условий в подразделении в период дежурства</t>
  </si>
  <si>
    <t>1.4.1.1.     Хранение и приготовление пищи в период дежурства</t>
  </si>
  <si>
    <t>1.4.2. Условия для отдыха в ночное время</t>
  </si>
  <si>
    <t>1.4.2.1.     Караульное помещение (возможно совмещение с другими помещениями, кроме технических и помещений для приема и приготовления пищи)</t>
  </si>
  <si>
    <t>1.4.2.3.     Возможность быстрого сбора и выезда по сигналу «Тревога»</t>
  </si>
  <si>
    <t>1.4.2.4.     Обеспечение охраны от проникновения посторонних или воздействия внешних негативных факторов</t>
  </si>
  <si>
    <t>1.4.3. Условия для активного отдыха во время предусмотренное распорядком дня</t>
  </si>
  <si>
    <t>1.4.3.1.     Специальное помещение (возможно совмещение с другими помещениями, кроме технических и помещений для приема и приготовления пищи)</t>
  </si>
  <si>
    <t>1.4.3.2.     Просмотр телепередач</t>
  </si>
  <si>
    <t>1.4.3.3.     Чтение литературы</t>
  </si>
  <si>
    <t>1.4.3.4.     Настольные игры</t>
  </si>
  <si>
    <t>1.4.3.6.     Курение табака (в специально отведенном месте)</t>
  </si>
  <si>
    <t>1.5.                    Медицинское обеспечение</t>
  </si>
  <si>
    <t>1.5.1. Осмотр перед заступлением на дежурство</t>
  </si>
  <si>
    <t>1.5.2. Контроль и самоконтроль состояния здоровья в течение дежурства</t>
  </si>
  <si>
    <t>1.5.3. Оказание доврачебной помощи в случае необходимости</t>
  </si>
  <si>
    <t xml:space="preserve">1.6.                    Снижение объема и оптимизация непрофильных работ </t>
  </si>
  <si>
    <t>1.6.1. Передача выполнения непрофильных задач сторонним организациям</t>
  </si>
  <si>
    <t>1.6.3. Удаления из перечня задач, выполняемых подразделением неактуальных или невостребованных задач</t>
  </si>
  <si>
    <t>2.1.                    Условия для быстрого сбора личного состава и выезда техники по сигналу «Тревога»</t>
  </si>
  <si>
    <t>2.3.                    Разведка пожара в пути следования</t>
  </si>
  <si>
    <t>3.1.1. Получение сведений от персонала объекта</t>
  </si>
  <si>
    <t>3.5.1. Слаженность действий с другими участниками тушения пожара</t>
  </si>
  <si>
    <t>3.5.2. Выбор наиболее эффективных приемов и способов действий</t>
  </si>
  <si>
    <t>3.5.3. Наблюдение за окружающей обстановкой, состоянием строительных конструкций и оборудования в районе пожара</t>
  </si>
  <si>
    <t>3.5.4. Обмен информацией с другими участниками тушения пожара</t>
  </si>
  <si>
    <t>3.5.5. Соблюдение требований безопасных условий работы</t>
  </si>
  <si>
    <t>3.6.1. Самоконтроль за состоянием здоровья, индивидуальных средств защиты и оборудования</t>
  </si>
  <si>
    <t>3.6.2. Контроль исправности и по возможности снижение угрозы воздействия ОФП на пожарную технику и оборудование</t>
  </si>
  <si>
    <t>3.6.3. Наблюдение за состоянием здоровья, индивидуальных средств защиты и оборудования других участников тушения пожара</t>
  </si>
  <si>
    <t>3.6.4. При необходимости оказание помощи другим участниками тушения пожара</t>
  </si>
  <si>
    <t>4.1.2. Обеспечение безопасных условий эвакуации</t>
  </si>
  <si>
    <t>4.1.3. Правильный выбор безопасного места для сбора эвакуируемых</t>
  </si>
  <si>
    <t>4.1.4. Организация взаимодействия с медицинскими службами</t>
  </si>
  <si>
    <t>4.1.5. Учет количества и состояния эвакуируемых</t>
  </si>
  <si>
    <t>4.2.                    Оказание доврачебной помощи (при необходимости)</t>
  </si>
  <si>
    <t>4.2.1. Определение приоритета и необходимости оказания помощи</t>
  </si>
  <si>
    <t>4.2.2. Определение достаточности квалификации для оказания доврачебной помощи</t>
  </si>
  <si>
    <t>4.3.                    Эвакуация или защита ценного имущества</t>
  </si>
  <si>
    <t>4.4.                    Обеспечение безопасных условий работы для личного состава и технических средств</t>
  </si>
  <si>
    <t>5.1.                    Предотвращение вторичных проявлений опасных факторов пожара</t>
  </si>
  <si>
    <t>5.1.1. Выбор наиболее эффективных способов и приемов выполнения</t>
  </si>
  <si>
    <t>5.1.2. Обеспечение безопасных условий работы для личного состава и технических средств</t>
  </si>
  <si>
    <t>5.2.                    Освещение места пожара</t>
  </si>
  <si>
    <t>5.2.1. Выбор наиболее эффективных способов и приемов выполнения</t>
  </si>
  <si>
    <t>5.2.2. Обеспечение безопасных условий работы для личного состава и технических средств</t>
  </si>
  <si>
    <t>5.3.                    Дымоудаление</t>
  </si>
  <si>
    <t>5.3.1. Выбор наиболее эффективных способов и приемов выполнения</t>
  </si>
  <si>
    <t>5.3.2. Обеспечение безопасных условий работы для личного состава и технических средств</t>
  </si>
  <si>
    <t>5.4.                    Обеспечение безопасных условий работы для личного состава и технических средств</t>
  </si>
  <si>
    <t>6.1.                    Эффективная организация работ</t>
  </si>
  <si>
    <t>6.3.                    Использование технических средств</t>
  </si>
  <si>
    <t>6.5.                    Обеспечение безопасных условий работы для личного состава и технических средств</t>
  </si>
  <si>
    <t>7.     Возвращение к месту дислокации - Сокращение времени следования</t>
  </si>
  <si>
    <t>7.1.                    Выбор наиболее быстрого маршрута следования</t>
  </si>
  <si>
    <t xml:space="preserve">9.1.                    Участие в общественных и спортивных мероприятиях, способствующих повышению уровня психологического и физического здоровья, повышению профессионального уровня </t>
  </si>
  <si>
    <t>Уровень</t>
  </si>
  <si>
    <t>Направление</t>
  </si>
  <si>
    <t>2.3.1. Знание объекта по опыту учебных занятий или по предыдущим пожарам</t>
  </si>
  <si>
    <t>2.3.2. Получение сведений об объекте по радиосвязи и из документов предварительного планирования</t>
  </si>
  <si>
    <t>2.3.3. Оценка обстановки по внешним признакам (наблюдение в пути следования столба дыма днем или зарева от пожара в ночное время, звуки взрыва и т.п.)</t>
  </si>
  <si>
    <t>3.1.2. Знание объекта по опыту учебных занятий или по предыдущим пожарам</t>
  </si>
  <si>
    <t>3.1.3. Изучение документов предварительного планирования</t>
  </si>
  <si>
    <t>3.1.4. Получение сведений от очевидцев</t>
  </si>
  <si>
    <t>3.1.5. Разведка по внешним признакам</t>
  </si>
  <si>
    <t>3.1.6. Разведка звеньями ГДЗС</t>
  </si>
  <si>
    <t>3.1.7. Разведка с использованием технических средств</t>
  </si>
  <si>
    <t>9.2.                    Нормальные социально-бытовые условия проживания</t>
  </si>
  <si>
    <t>2.4.1. Совместное обсуждение тактики действий и распределение задач</t>
  </si>
  <si>
    <t xml:space="preserve">2.4.2. Подготовка боевой одежды и личного снаряжения </t>
  </si>
  <si>
    <t>2.4.3. Подготовка средств индивидуальной защиты</t>
  </si>
  <si>
    <t>2.4.4. Подготовка группового оборудования и инструментов</t>
  </si>
  <si>
    <t>2.4.5. Индивидуальная психологическая и тактическая подготовка</t>
  </si>
  <si>
    <t>Узел</t>
  </si>
  <si>
    <t>Описание цели (подцели)</t>
  </si>
  <si>
    <t>Вес</t>
  </si>
  <si>
    <t>1.     Караульная служба - Повышение боеготовности. Подготовка к выезду на пожар</t>
  </si>
  <si>
    <t>1.1.1.4.     Организация самостоятельного изучения и практической отработки профессиональных навыков</t>
  </si>
  <si>
    <t>1.1.1.5.     Планирование мероприятий по охране труда</t>
  </si>
  <si>
    <t>1.1.2.1.     Наличие специального помещения для занятий (возможно совмещение с другими помещениями)</t>
  </si>
  <si>
    <t>1.1.2.2.     Наличие специального учебного оборудования и мебели</t>
  </si>
  <si>
    <t>1.1.2.3.     Наличие и достаточность учебной литературы соответствующего уровня</t>
  </si>
  <si>
    <t>1.1.2.4.     Наличие письменных принадлежностей и оргтехники</t>
  </si>
  <si>
    <t>1.1.2.5.     Контроль и обеспечение санитарно-гигиенических условий</t>
  </si>
  <si>
    <t>1.1.2.6.     Условия для быстрого выезда по сигналу «Тревога»</t>
  </si>
  <si>
    <t>1.1.2.7.     Контроль и обеспечение условий для соблюдения нормативных требований по охране труда</t>
  </si>
  <si>
    <t>1.1.2.8.     Обеспечение охраны от проникновения посторонних или воздействия внешних негативных факторов</t>
  </si>
  <si>
    <t>1.1.3.1.     Отработка навыков подъема и работы на высоте</t>
  </si>
  <si>
    <t>1.1.3.1.1.         Подъем и спуск по маршевым лестницам личного состава и оборудования</t>
  </si>
  <si>
    <t>1.1.3.1.2.         Подъем и спуск по ручной выдвижной лестнице личного состава и оборудования</t>
  </si>
  <si>
    <t>1.1.3.1.3.         Подъем и спуск по ручной штурмовой лестнице личного состава и оборудования</t>
  </si>
  <si>
    <t>1.1.3.1.4.         Подъем и спуск по ручной лестнице-палке личного состава и оборудования</t>
  </si>
  <si>
    <t>1.1.3.1.5.         Подъем и спуск по выдвижной автомобильной лестнице личного состава и оборудования</t>
  </si>
  <si>
    <t>1.1.3.1.6.         Подъем и спуск личного состава и оборудования с помощью автомобильного коленчатого или телескопического подъемника</t>
  </si>
  <si>
    <t>1.1.3.1.7.         Работа на высоте на стенах и перекрытиях и других высотных элементах зданий и сооружений</t>
  </si>
  <si>
    <t>1.1.3.1.8.         Выработка навыков слаженных действий и взаимовыручки</t>
  </si>
  <si>
    <t>1.1.3.1.9.         Обеспечение безопасных условий работы</t>
  </si>
  <si>
    <t>1.1.3.2.     Отработка действий по выполнению боевых задач в условиях задымления</t>
  </si>
  <si>
    <t>1.1.3.2.1.         Навыки ориентирования и передвижения в условиях ограниченной видимости</t>
  </si>
  <si>
    <t>1.1.3.2.2.         Обеспечение условий для собственного дыхания в задымленной атмосфере и др. приемы и способы сохранения жизни и здоровья (использование СИЗОД, передвижения в зонах с доступом свежего воздуха и т.п.)</t>
  </si>
  <si>
    <t>1.1.3.2.3.         Навыки работы с СИЗОД</t>
  </si>
  <si>
    <t>1.1.3.2.4.         Поиск и эвакуация пострадавших людей в условиях задымления</t>
  </si>
  <si>
    <t xml:space="preserve">1.1.3.2.5.         Поиск очага пожара </t>
  </si>
  <si>
    <t>1.1.3.2.6.         Прокладка рукавных линий</t>
  </si>
  <si>
    <t>1.1.3.2.7.         Поиск и отключение технологического оборудования</t>
  </si>
  <si>
    <t>1.1.3.2.8.         Обнаружение и поиск возможностей обхода мест возможной опасности (прогары в перекрытиях, опасные вещества и материалы)</t>
  </si>
  <si>
    <t>1.1.3.2.9.         Работа с ручными и механизированными пожарными и спасательными инструментами</t>
  </si>
  <si>
    <t>1.1.3.2.10.    Выработка навыков слаженных действий и взаимовыручки</t>
  </si>
  <si>
    <t>1.1.3.2.11.    Обеспечение безопасных условий работы</t>
  </si>
  <si>
    <t>1.1.3.3.1.         Навыки передвижения и работы в условиях высокой температуры</t>
  </si>
  <si>
    <t>1.1.3.3.2.         Защита от воздействия высокой температуры личного состава</t>
  </si>
  <si>
    <t>1.1.3.3.3.         Защита от воздействия высокой температуры рукавных линий и другого оборудования</t>
  </si>
  <si>
    <t>1.1.3.3.4.         Выработка навыков слаженных действий и взаимовыручки</t>
  </si>
  <si>
    <t>1.1.3.3.5.         Обеспечение безопасных условий работы</t>
  </si>
  <si>
    <t>1.1.3.4.1.         Безопасные и эффективные приемы и способы транспортировки пострадавшего</t>
  </si>
  <si>
    <t>1.1.3.4.2.         Контроль состояния пострадавшего</t>
  </si>
  <si>
    <t>1.1.3.4.3.         Контроль состояния окружающей обстановки</t>
  </si>
  <si>
    <t>1.1.3.4.4.         Выработка навыков слаженных действий и взаимовыручки</t>
  </si>
  <si>
    <t>1.1.3.4.5.         Обеспечение безопасных условий работы</t>
  </si>
  <si>
    <t>1.1.3.5.1.         Выработка правильных и эффективных приемов и способов выполнения действий</t>
  </si>
  <si>
    <t>1.1.3.5.2.         Выработка навыков слаженных действий и взаимовыручки</t>
  </si>
  <si>
    <t>1.1.3.5.3.         Обеспечение безопасных условий работы</t>
  </si>
  <si>
    <t>1.1.3.6.1.         Выработка правильных и эффективных приемов и способов выполнения действий</t>
  </si>
  <si>
    <t>1.1.3.6.2.         Выработка навыков слаженных действий и взаимовыручки</t>
  </si>
  <si>
    <t>1.1.3.6.3.         Обеспечение безопасных условий работы</t>
  </si>
  <si>
    <t>1.1.3.7.1.         Выработка правильных и эффективных приемов и способов выполнения действий</t>
  </si>
  <si>
    <t>1.1.3.7.2.         Обеспечение безопасных условий работы</t>
  </si>
  <si>
    <t>1.1.3.9.1.         Выработка правильных и эффективных приемов и способов выполнения действий</t>
  </si>
  <si>
    <t>1.1.3.9.2.         Выработка навыков слаженных действий и взаимовыручки</t>
  </si>
  <si>
    <t>1.1.3.9.3.         Обеспечение безопасных условий работы</t>
  </si>
  <si>
    <t>1.1.3.10.                       Контроль и обеспечение условий для соблюдения нормативных требований по охране труда</t>
  </si>
  <si>
    <t>1.1.3.11.                       Условия для быстрого выезда по сигналу «Тревога»</t>
  </si>
  <si>
    <t>1.1.3.12.                       Обеспечение охраны от проникновения посторонних или воздействия внешних негативных факторов</t>
  </si>
  <si>
    <t>1.1.4.5.     Контроль и обеспечение условий для соблюдения нормативных требований по охране труда</t>
  </si>
  <si>
    <t>1.1.4.6.     Условия для быстрого выезда по сигналу «Тревога»</t>
  </si>
  <si>
    <t>1.1.4.7.     Обеспечение охраны от проникновения посторонних или воздействия внешних негативных факторов</t>
  </si>
  <si>
    <t>1.1.5. Пожарно-тактические занятия (учения) с выездом на объект</t>
  </si>
  <si>
    <t>1.1.5.1.     Ознакомление с порядком проезда на территорию объекта</t>
  </si>
  <si>
    <t>1.1.5.2.     Изучение порядка взаимодействия с персоналом объекта</t>
  </si>
  <si>
    <t>1.1.5.3.     Изучение расположения пожароопасных зданий и сооружений на территории объекта</t>
  </si>
  <si>
    <t xml:space="preserve">1.1.5.4.     Изучение расположения водоисточников и мест хранения огнетушащих веществ на территории объекта и на прилегающей территории </t>
  </si>
  <si>
    <t>1.1.5.5.     Изучение возможных источников опасности (ядовитые химические вещества, радиоактивные материалы и т.п.)</t>
  </si>
  <si>
    <t>1.1.5.6.     Изучение транспортной инфраструктуры объекта</t>
  </si>
  <si>
    <t>1.1.5.7.     Контроль и обеспечение условий для соблюдения нормативных требований по охране труда</t>
  </si>
  <si>
    <t>1.1.5.8.     Условия для быстрого выезда по сигналу «Тревога»</t>
  </si>
  <si>
    <t>1.2.6. Контроль и обеспечение условий для соблюдения нормативных требований по охране труда</t>
  </si>
  <si>
    <t>1.2.7. Обеспечение возможности быстрого выезда по сигналу «Тревога»</t>
  </si>
  <si>
    <t>1.2.8. Обеспечение охраны от проникновения посторонних или воздействия внешних негативных факторов</t>
  </si>
  <si>
    <t>1.3.                    Рациональная организация режима труда и отдыха</t>
  </si>
  <si>
    <t>1.3.1. Разработка рационального распорядка дня</t>
  </si>
  <si>
    <t>1.3.2. Контроль соблюдения распорядка дня</t>
  </si>
  <si>
    <t>1.3.3. Изучение возможности для оптимизации распорядка дня</t>
  </si>
  <si>
    <t>1.4.1. Обеспечение нормальных условий для приема пищи</t>
  </si>
  <si>
    <t>1.4.1.2.     Обеспечение мебелью и столовыми приборами</t>
  </si>
  <si>
    <t>1.4.1.3.     Контроль и обеспечение санитарно-гигиенических условий</t>
  </si>
  <si>
    <t>1.4.1.4.     Контроль и обеспечение условий для соблюдения нормативных требований по охране труда</t>
  </si>
  <si>
    <t>1.4.1.5.     Возможность быстрого сбора и выезда по сигналу «Тревога»</t>
  </si>
  <si>
    <t>1.4.1.6.     Обеспечение охраны от проникновения посторонних или воздействия внешних негативных факторов</t>
  </si>
  <si>
    <t>1.4.2.2.     Контроль и обеспечение санитарно-гигиенических условий</t>
  </si>
  <si>
    <t>1.4.3.5.     Спортивные занятия (специальное помещение или выделенное место)</t>
  </si>
  <si>
    <t>1.4.3.7.     Контроль и обеспечение условий для соблюдения нормативных требований по охране труда</t>
  </si>
  <si>
    <t>1.4.3.8.     Контроль и обеспечение санитарно-гигиенических условий</t>
  </si>
  <si>
    <t>1.4.3.9.     Возможность быстрого сбора и выезда по сигналу «Тревога»</t>
  </si>
  <si>
    <t>1.4.3.10.                       Обеспечение охраны от проникновения посторонних или воздействия внешних негативных факторов</t>
  </si>
  <si>
    <t>1.6.2. Передача части задач на выполнение  профильным группам, объединенным из нескольких подразделений (ремонт техники и др.)</t>
  </si>
  <si>
    <t>2.1.1. Условия хранения боевой одежды и снаряжения</t>
  </si>
  <si>
    <t>2.1.1.1.     Специальные стеллажи</t>
  </si>
  <si>
    <t>2.1.1.2.     Правильная укладка</t>
  </si>
  <si>
    <t>2.1.1.3.     Обеспечение защиты от прямого попадания влаги</t>
  </si>
  <si>
    <t>2.1.1.4.     Расположение в доступном месте от путей передвижения</t>
  </si>
  <si>
    <t xml:space="preserve">2.1.2. Условия для быстрой подготовки боевого расчета к выезду </t>
  </si>
  <si>
    <t>2.1.2.1.     Ровная поверхность и отсутствие препятствий</t>
  </si>
  <si>
    <t>2.1.2.2.     Освещение</t>
  </si>
  <si>
    <t>2.1.2.3.     Кратчайший маршрут</t>
  </si>
  <si>
    <t>2.1.3. Условия для выезда пожарной техники из подразделения</t>
  </si>
  <si>
    <t>2.1.3.1.     Ровная поверхность и отсутствие препятствий</t>
  </si>
  <si>
    <t>2.1.3.2.     Освещение</t>
  </si>
  <si>
    <t>2.1.3.3.     Кратчайший маршрут</t>
  </si>
  <si>
    <t>2.1.3.4.     Обеспечение контроля состояния автомобиля во время пуска двигателя и выезда из гаража</t>
  </si>
  <si>
    <t>2.1.3.5.     Сигнализация для предупреждения других участников дорожного движения о выезде пожарной техники</t>
  </si>
  <si>
    <t>2.1.4. Контроль и обеспечение условий для соблюдения нормативных требований по охране труда</t>
  </si>
  <si>
    <t>2.2.                    Выбор оптимального маршрута следования к месту вызова – Минимизация времени прибытия к месту вызова</t>
  </si>
  <si>
    <t>2.2.1. Знание водителями района выезда</t>
  </si>
  <si>
    <t>2.2.1.1.     Регулярная практическая и теоретическая отработка</t>
  </si>
  <si>
    <t xml:space="preserve">2.2.2. Квалификация водителя пожарного автомобиля </t>
  </si>
  <si>
    <t>2.2.2.1.     Навыки вождения автомобиля</t>
  </si>
  <si>
    <t>2.2.2.2.     Знание Правил дорожного движения, в том числе и для автомобилей со спецсигналами</t>
  </si>
  <si>
    <t>2.2.2.3.     Опыт работы водителя по специальности</t>
  </si>
  <si>
    <t>2.2.3. Использование геоинформационных систем</t>
  </si>
  <si>
    <t>2.2.3.1.     Регулярная практическая и теоретическая отработка</t>
  </si>
  <si>
    <t>2.2.4. Получение информации о препятствиях на пути следования от диспетчера</t>
  </si>
  <si>
    <t>2.2.5. Использование специальных звуковых и световых сигнальных устройств пожарного автомобиля</t>
  </si>
  <si>
    <t>2.2.6. Учет состояния дорожного покрытия и погодных условий</t>
  </si>
  <si>
    <t>2.4.                    Предварительная подготовка боевого расчета в пути следования</t>
  </si>
  <si>
    <t>3.     Тушение пожара - Ликвидация горения, спасание людей и имущества с использованием минимального количества сил и средств за минимальное время</t>
  </si>
  <si>
    <t>3.1.                     Разведка пожара – получение необходимой информации для успешной и эффективной ликвидации пожара</t>
  </si>
  <si>
    <t>3.1.8. Контроль и обеспечение условий для соблюдения нормативных требований по охране труда</t>
  </si>
  <si>
    <t>3.2.                    Развертывание сил и средств</t>
  </si>
  <si>
    <t>3.2.1. Правильный выбор решающего направления на пожаре (принципы)</t>
  </si>
  <si>
    <t>3.2.1.1.     Реальная угроза жизни людей, в том числе участников боевых действий по тушению пожаров на месте пожара, при этом их самостоятельная эвакуация невозможна – силы и средства подразделений пожарной охраны направляются на спасение людей</t>
  </si>
  <si>
    <t>3.2.1.2.     Угроза взрыва или обрушения строительных конструкций – силы и средства подразделений пожарной охраны сосредоточиваются и вводятся на направлениях, обеспечивающих предотвращение взрыва или обрушения строительных конструкций.</t>
  </si>
  <si>
    <t>3.2.1.3.     Охват пожаром части здания (сооружения) и наличие угрозы его распространения на другие части здания (сооружения) или на соседние здания (сооружения) – силы и средства подразделений пожарной охраны сосредоточиваются и вводятся на направлениях, где дальнейшее распространение пожара может привести к наибольшему ущербу</t>
  </si>
  <si>
    <t>3.2.1.4.     Охват пожаром отдельно стоящего здания (сооружения) и отсутствие угрозы распространения огня на соседние здания (сооружения) – силы и средства подразделений пожарной охраны сосредоточиваются и вводятся в местах наиболее интенсивного горения.</t>
  </si>
  <si>
    <t>3.2.1.5.     Охват пожаром здания (сооружения), не представляющего на момент прибытия подразделений пожарной охраны ценности, и наличие угрозы перехода пожара на соседние здания (сооружения) – силы и средства подразделений пожарной охраны сосредоточиваются и вводятся на защиту соседних, не горящих, зданий (сооружений)</t>
  </si>
  <si>
    <t>3.2.2. Правильный выбор схемы боевого развертывания – создание наиболее эффективных и безопасных условий работы пожарных и пожарной техники</t>
  </si>
  <si>
    <t>3.2.2.1.     Выбор на основе поставленной цели (условий решающего направления)</t>
  </si>
  <si>
    <t>3.2.2.2.     На основе тактико-технических возможностей пожарной техники</t>
  </si>
  <si>
    <t>3.2.2.2.1.         Запас огнетушащих веществ</t>
  </si>
  <si>
    <t>3.2.2.2.2.         Мощность силовой установки</t>
  </si>
  <si>
    <t>3.2.2.2.3.         Наличие специального оборудования и технических средств</t>
  </si>
  <si>
    <t>3.2.2.2.4.         Проходимость</t>
  </si>
  <si>
    <t>3.2.2.2.5.         Уровень защиты от ОФП</t>
  </si>
  <si>
    <t>3.2.2.2.6.         Эргономичность</t>
  </si>
  <si>
    <t>3.2.2.3.     На основе тактических возможностей боевого расчета</t>
  </si>
  <si>
    <t>3.2.2.3.1.         Количество и квалификация личного состава</t>
  </si>
  <si>
    <t xml:space="preserve">3.2.2.3.2.         Индивидуальное и групповое пожарно-техническое оборудование </t>
  </si>
  <si>
    <t>3.2.2.3.3.         Боевая одежда пожарного и др. средства защиты от ОФП</t>
  </si>
  <si>
    <t>3.2.2.3.4.         СИЗОД</t>
  </si>
  <si>
    <t>3.2.2.4.     На основе особенностей местности</t>
  </si>
  <si>
    <t>3.2.2.4.1.         Проходимость маршрутов передвижения людей</t>
  </si>
  <si>
    <t>3.2.2.4.2.         Проходимость маршрутов передвижения технических средств</t>
  </si>
  <si>
    <t>3.2.2.4.3.         Доступность путей прокладки рукавных линий</t>
  </si>
  <si>
    <t>3.2.2.4.4.         Выбор позиций для ствольщиков</t>
  </si>
  <si>
    <t>3.2.2.4.5.         Использование зданий, сооружений, техники, складок местности для защиты от воздействия ОФП</t>
  </si>
  <si>
    <t>3.2.2.4.6.         Состояние покрытия путей передвижения</t>
  </si>
  <si>
    <t xml:space="preserve">3.2.2.5.     На основе учета погодных условий </t>
  </si>
  <si>
    <t>3.2.2.5.1.         Температура окружающего воздуха</t>
  </si>
  <si>
    <t>3.2.2.5.2.         Направление и сила ветра</t>
  </si>
  <si>
    <t>3.2.2.5.3.         Атмосферные осадки</t>
  </si>
  <si>
    <t>3.2.2.6.     На основе учета угрозы воздействия опасных факторов пожара</t>
  </si>
  <si>
    <t>3.2.2.6.1.         Обеспечение возможности защиты от воздействия высокой температуры</t>
  </si>
  <si>
    <t>3.2.2.6.2.         Обеспечение условий работы в условиях задымления</t>
  </si>
  <si>
    <t>3.2.2.6.3.         Обеспечение условий работы в условиях пониженного содержания кислорода</t>
  </si>
  <si>
    <t>3.2.2.6.4.         Обеспечение защиты от воздействия др. продуктов горения</t>
  </si>
  <si>
    <t>3.2.2.7.     На основе учета угрозы воздействия прочих опасных факторов</t>
  </si>
  <si>
    <t>3.2.2.7.1.         Обеспечение защиты от падения частей строительных конструкций и оборудования</t>
  </si>
  <si>
    <t>3.2.2.7.2.         Обеспечение защиты от опасных проявлений факторов взрыва и выбросов горящих веществ</t>
  </si>
  <si>
    <t>3.2.2.7.3.         Обеспечение защиты от опасных проявлений высокого электрического напряжения</t>
  </si>
  <si>
    <t>3.2.2.7.4.         Обеспечение защиты от опасных проявлений АХОВ</t>
  </si>
  <si>
    <t>3.3.                    Выбор эффективных огнетушащих средств для данного пожара – быстрое тушение с наименьшими затратами огнетушащих веществ и сил пожарных подразделений</t>
  </si>
  <si>
    <t>3.3.1. Достаточный запас огнетушащих средств</t>
  </si>
  <si>
    <t>3.3.2. Эффект воздействия на зону горения и ОФП</t>
  </si>
  <si>
    <t>3.3.3. Возможность применения с учетом погодных условий</t>
  </si>
  <si>
    <t>3.3.4. Возможность применения с учетом требований экологии</t>
  </si>
  <si>
    <t>3.4.                    Выбор эффективных способов подачи огнетушащих средств – быстрое тушение с наименьшими затратами огнетушащих веществ и сил пожарных подразделений</t>
  </si>
  <si>
    <t>3.4.1. Возможность попадания в зону горения</t>
  </si>
  <si>
    <t>3.4.2. Воздействие на ОФП</t>
  </si>
  <si>
    <t>3.4.3. Безопасность ствольщиков и личного состава</t>
  </si>
  <si>
    <t>3.4.4. Минимизация сопутствующего вреда для имущества и оборудования в зоне пожара и смежных помещениях</t>
  </si>
  <si>
    <t>3.5.                    Индивидуальные тактически правильные действия – успешные и безопасные индивидуальные действия</t>
  </si>
  <si>
    <t xml:space="preserve">3.6.                    Обеспечение безопасных условий работы для личного состава и технических средств – сохранность жизни и здоровья людей </t>
  </si>
  <si>
    <t>4.     Спасание на пожаре – Эффективное спасание людей и имущества</t>
  </si>
  <si>
    <t>4.1.                    Эвакуация людей в безопасную зону – безопасная транспортировка людей</t>
  </si>
  <si>
    <t>4.1.1. Медицинская сортировка пострадавших – оказание помощи в первую очередь наиболее нуждающимся людям</t>
  </si>
  <si>
    <t>4.1.2.1.     Выбор наиболее безопасного маршрута транспортировки</t>
  </si>
  <si>
    <t>4.1.2.2.     Выбор кратчайшего маршрута (из безопасных)</t>
  </si>
  <si>
    <t>4.3.1. Определение необходимости эвакуации ценного имущества</t>
  </si>
  <si>
    <t>4.3.2. Выбор безопасного способа и пути для эвакуации</t>
  </si>
  <si>
    <t>4.3.3. Определение необходимости защиты ценного имущества</t>
  </si>
  <si>
    <t>4.3.4. Правильный выбор безопасного места для хранения эвакуируемого имущества</t>
  </si>
  <si>
    <t>4.3.5. Охрана имущества</t>
  </si>
  <si>
    <t>5.     Аварийные работы - Обеспечение условий для тушения, а также спасания людей и имущества</t>
  </si>
  <si>
    <t>6.     Сбор после пожара - Сокращение времени сбора подразделения после пожара</t>
  </si>
  <si>
    <t>6.2.                    Использование эффективных способов выполнения работ</t>
  </si>
  <si>
    <t>6.4.                    Замена использованных напорных рукавов на месте пожара рукавной службой</t>
  </si>
  <si>
    <t>7.1.1. Знание водителями района выезда</t>
  </si>
  <si>
    <t xml:space="preserve">7.1.2. Квалификация водителя пожарного автомобиля </t>
  </si>
  <si>
    <t>7.1.2.1.     Навыки вождения автомобиля</t>
  </si>
  <si>
    <t>7.1.2.2.     Знание Правил дорожного движения, в том числе и для автомобилей со спецсигналами</t>
  </si>
  <si>
    <t>7.1.2.3.     Опыт работы водителя по специальности</t>
  </si>
  <si>
    <t>7.1.3. Использование геоинформационных систем</t>
  </si>
  <si>
    <t>7.1.4. Получение информации о препятствиях на пути следования от диспетчера</t>
  </si>
  <si>
    <t>7.1.5. Использование специальных звуковых и световых сигнальных устройств пожарного автомобиля</t>
  </si>
  <si>
    <t>7.1.6. Учет состояния дорожного покрытия и погодных условий</t>
  </si>
  <si>
    <t>7.2.                    Возможность заправки техники горючим  и огнетушащими веществами в пункте на маршруте следования или с незначительным отклонением от маршрута</t>
  </si>
  <si>
    <t>7.3.                    Замена использованных напорных рукавов в пункте на маршруте следования или с незначительным отклонением от маршрута</t>
  </si>
  <si>
    <t>8.     Подготовка к следующему вызову – Повышение качества подготовки</t>
  </si>
  <si>
    <t xml:space="preserve">8.1.                    Подготовка пожарного оборудования к использованию </t>
  </si>
  <si>
    <t>8.1.1. Доукомплектование пожарных автомобилей рукавами (по мере необходимости)</t>
  </si>
  <si>
    <t>8.1.2. Замена использованных баллонов для СИЗОД</t>
  </si>
  <si>
    <t>8.1.3. Замена боевой одежды (при необходимости)</t>
  </si>
  <si>
    <t>8.2.                    Заправка техники горючим  и огнетушащими веществами</t>
  </si>
  <si>
    <t>9.     Отдых после дежурства – Повышение качество восстановления и подготовке к дежкрству</t>
  </si>
  <si>
    <t>Правая граница номера</t>
  </si>
  <si>
    <t>. </t>
  </si>
  <si>
    <t>2.     Выезд из подразделения и следование к месту вызова - Сокращение времени следования</t>
  </si>
  <si>
    <t>Эксперт</t>
  </si>
  <si>
    <t>Средн.вес</t>
  </si>
  <si>
    <t>1</t>
  </si>
  <si>
    <t>1.1</t>
  </si>
  <si>
    <t>1.1.1</t>
  </si>
  <si>
    <t>1.1.1.1</t>
  </si>
  <si>
    <t>1.1.1.2</t>
  </si>
  <si>
    <t>1.1.1.3</t>
  </si>
  <si>
    <t>1.1.1.4</t>
  </si>
  <si>
    <t>1.1.1.5</t>
  </si>
  <si>
    <t>1.1.2</t>
  </si>
  <si>
    <t>1.1.2.1</t>
  </si>
  <si>
    <t>1.1.2.2</t>
  </si>
  <si>
    <t>1.1.2.3</t>
  </si>
  <si>
    <t>1.1.2.4</t>
  </si>
  <si>
    <t>1.1.2.5</t>
  </si>
  <si>
    <t>1.1.2.6</t>
  </si>
  <si>
    <t>1.1.2.7</t>
  </si>
  <si>
    <t>1.1.2.8</t>
  </si>
  <si>
    <t>1.1.3</t>
  </si>
  <si>
    <t>1.1.3.1</t>
  </si>
  <si>
    <t>1.1.3.1.1</t>
  </si>
  <si>
    <t>1.1.3.1.2</t>
  </si>
  <si>
    <t>1.1.3.1.3</t>
  </si>
  <si>
    <t>1.1.3.1.4</t>
  </si>
  <si>
    <t>1.1.3.1.5</t>
  </si>
  <si>
    <t>1.1.3.1.6</t>
  </si>
  <si>
    <t>1.1.3.1.7</t>
  </si>
  <si>
    <t>1.1.3.1.8</t>
  </si>
  <si>
    <t>1.1.3.1.9</t>
  </si>
  <si>
    <t>1.1.3.2</t>
  </si>
  <si>
    <t>1.1.3.2.1</t>
  </si>
  <si>
    <t>1.1.3.2.2</t>
  </si>
  <si>
    <t>1.1.3.2.3</t>
  </si>
  <si>
    <t>1.1.3.2.4</t>
  </si>
  <si>
    <t>1.1.3.2.5</t>
  </si>
  <si>
    <t>1.1.3.2.6</t>
  </si>
  <si>
    <t>1.1.3.2.7</t>
  </si>
  <si>
    <t>1.1.3.2.8</t>
  </si>
  <si>
    <t>1.1.3.2.9</t>
  </si>
  <si>
    <t>1.1.3.2.10</t>
  </si>
  <si>
    <t>1.1.3.2.11</t>
  </si>
  <si>
    <t>1.1.3.3</t>
  </si>
  <si>
    <t>1.1.3.3.1</t>
  </si>
  <si>
    <t>1.1.3.3.2</t>
  </si>
  <si>
    <t>1.1.3.3.3</t>
  </si>
  <si>
    <t>1.1.3.3.4</t>
  </si>
  <si>
    <t>1.1.3.3.5</t>
  </si>
  <si>
    <t>1.1.3.4</t>
  </si>
  <si>
    <t>1.1.3.4.1</t>
  </si>
  <si>
    <t>1.1.3.4.2</t>
  </si>
  <si>
    <t>1.1.3.4.3</t>
  </si>
  <si>
    <t>1.1.3.4.4</t>
  </si>
  <si>
    <t>1.1.3.4.5</t>
  </si>
  <si>
    <t>1.1.3.5</t>
  </si>
  <si>
    <t>1.1.3.5.1</t>
  </si>
  <si>
    <t>1.1.3.5.2</t>
  </si>
  <si>
    <t>1.1.3.5.3</t>
  </si>
  <si>
    <t>1.1.3.6</t>
  </si>
  <si>
    <t>1.1.3.6.1</t>
  </si>
  <si>
    <t>1.1.3.6.2</t>
  </si>
  <si>
    <t>1.1.3.6.3</t>
  </si>
  <si>
    <t>1.1.3.7</t>
  </si>
  <si>
    <t>1.1.3.7.1</t>
  </si>
  <si>
    <t>1.1.3.7.2</t>
  </si>
  <si>
    <t>1.1.3.8</t>
  </si>
  <si>
    <t>1.1.3.9</t>
  </si>
  <si>
    <t>1.1.3.9.1</t>
  </si>
  <si>
    <t>1.1.3.9.2</t>
  </si>
  <si>
    <t>1.1.3.9.3</t>
  </si>
  <si>
    <t>1.1.3.10</t>
  </si>
  <si>
    <t>1.1.3.11</t>
  </si>
  <si>
    <t>1.1.3.12</t>
  </si>
  <si>
    <t>1.1.4</t>
  </si>
  <si>
    <t>1.1.4.1</t>
  </si>
  <si>
    <t>1.1.4.2</t>
  </si>
  <si>
    <t>1.1.4.3</t>
  </si>
  <si>
    <t>1.1.4.4</t>
  </si>
  <si>
    <t>1.1.4.5</t>
  </si>
  <si>
    <t>1.1.4.6</t>
  </si>
  <si>
    <t>1.1.4.7</t>
  </si>
  <si>
    <t>1.1.5</t>
  </si>
  <si>
    <t>1.1.5.1</t>
  </si>
  <si>
    <t>1.1.5.2</t>
  </si>
  <si>
    <t>1.1.5.3</t>
  </si>
  <si>
    <t>1.1.5.4</t>
  </si>
  <si>
    <t>1.1.5.5</t>
  </si>
  <si>
    <t>1.1.5.6</t>
  </si>
  <si>
    <t>1.1.5.7</t>
  </si>
  <si>
    <t>1.1.5.8</t>
  </si>
  <si>
    <t>1.2</t>
  </si>
  <si>
    <t>1.2.1</t>
  </si>
  <si>
    <t>1.2.2</t>
  </si>
  <si>
    <t>1.2.3</t>
  </si>
  <si>
    <t>1.2.4</t>
  </si>
  <si>
    <t>1.2.5</t>
  </si>
  <si>
    <t>1.2.6</t>
  </si>
  <si>
    <t>1.2.7</t>
  </si>
  <si>
    <t>1.2.8</t>
  </si>
  <si>
    <t>1.3</t>
  </si>
  <si>
    <t>1.3.1</t>
  </si>
  <si>
    <t>1.3.2</t>
  </si>
  <si>
    <t>1.3.3</t>
  </si>
  <si>
    <t>1.4</t>
  </si>
  <si>
    <t>1.4.1</t>
  </si>
  <si>
    <t>1.4.1.1</t>
  </si>
  <si>
    <t>1.4.1.2</t>
  </si>
  <si>
    <t>1.4.1.3</t>
  </si>
  <si>
    <t>1.4.1.4</t>
  </si>
  <si>
    <t>1.4.1.5</t>
  </si>
  <si>
    <t>1.4.1.6</t>
  </si>
  <si>
    <t>1.4.2</t>
  </si>
  <si>
    <t>1.4.2.1</t>
  </si>
  <si>
    <t>1.4.2.2</t>
  </si>
  <si>
    <t>1.4.2.3</t>
  </si>
  <si>
    <t>1.4.2.4</t>
  </si>
  <si>
    <t>1.4.3</t>
  </si>
  <si>
    <t>1.4.3.1</t>
  </si>
  <si>
    <t>1.4.3.2</t>
  </si>
  <si>
    <t>1.4.3.3</t>
  </si>
  <si>
    <t>1.4.3.4</t>
  </si>
  <si>
    <t>1.4.3.5</t>
  </si>
  <si>
    <t>1.4.3.6</t>
  </si>
  <si>
    <t>1.4.3.7</t>
  </si>
  <si>
    <t>1.4.3.8</t>
  </si>
  <si>
    <t>1.4.3.9</t>
  </si>
  <si>
    <t>1.4.3.10</t>
  </si>
  <si>
    <t>1.5</t>
  </si>
  <si>
    <t>1.5.1</t>
  </si>
  <si>
    <t>1.5.2</t>
  </si>
  <si>
    <t>1.5.3</t>
  </si>
  <si>
    <t>1.6</t>
  </si>
  <si>
    <t>1.6.1</t>
  </si>
  <si>
    <t>1.6.2</t>
  </si>
  <si>
    <t>1.6.3</t>
  </si>
  <si>
    <t>2</t>
  </si>
  <si>
    <t>2.1</t>
  </si>
  <si>
    <t>2.1.1</t>
  </si>
  <si>
    <t>2.1.1.1</t>
  </si>
  <si>
    <t>2.1.1.2</t>
  </si>
  <si>
    <t>2.1.1.3</t>
  </si>
  <si>
    <t>2.1.1.4</t>
  </si>
  <si>
    <t>2.1.2</t>
  </si>
  <si>
    <t>2.1.2.1</t>
  </si>
  <si>
    <t>2.1.2.2</t>
  </si>
  <si>
    <t>2.1.2.3</t>
  </si>
  <si>
    <t>2.1.3</t>
  </si>
  <si>
    <t>2.1.3.1</t>
  </si>
  <si>
    <t>2.1.3.2</t>
  </si>
  <si>
    <t>2.1.3.3</t>
  </si>
  <si>
    <t>2.1.3.4</t>
  </si>
  <si>
    <t>2.1.3.5</t>
  </si>
  <si>
    <t>2.1.4</t>
  </si>
  <si>
    <t>2.2</t>
  </si>
  <si>
    <t>2.2.1</t>
  </si>
  <si>
    <t>2.2.1.1</t>
  </si>
  <si>
    <t>2.2.2</t>
  </si>
  <si>
    <t>2.2.2.1</t>
  </si>
  <si>
    <t>2.2.2.2</t>
  </si>
  <si>
    <t>2.2.2.3</t>
  </si>
  <si>
    <t>2.2.3</t>
  </si>
  <si>
    <t>2.2.3.1</t>
  </si>
  <si>
    <t>2.2.4</t>
  </si>
  <si>
    <t>2.2.5</t>
  </si>
  <si>
    <t>2.2.6</t>
  </si>
  <si>
    <t>2.3</t>
  </si>
  <si>
    <t>2.3.1</t>
  </si>
  <si>
    <t>2.3.2</t>
  </si>
  <si>
    <t>2.3.3</t>
  </si>
  <si>
    <t>2.4</t>
  </si>
  <si>
    <t>2.4.1</t>
  </si>
  <si>
    <t>2.4.2</t>
  </si>
  <si>
    <t>2.4.3</t>
  </si>
  <si>
    <t>2.4.4</t>
  </si>
  <si>
    <t>2.4.5</t>
  </si>
  <si>
    <t>3</t>
  </si>
  <si>
    <t>3.1</t>
  </si>
  <si>
    <t>3.1.1</t>
  </si>
  <si>
    <t>3.1.2</t>
  </si>
  <si>
    <t>3.1.3</t>
  </si>
  <si>
    <t>3.1.4</t>
  </si>
  <si>
    <t>3.1.5</t>
  </si>
  <si>
    <t>3.1.6</t>
  </si>
  <si>
    <t>3.1.7</t>
  </si>
  <si>
    <t>3.1.8</t>
  </si>
  <si>
    <t>3.2</t>
  </si>
  <si>
    <t>3.2.1</t>
  </si>
  <si>
    <t>3.2.1.1</t>
  </si>
  <si>
    <t>3.2.1.2</t>
  </si>
  <si>
    <t>3.2.1.3</t>
  </si>
  <si>
    <t>3.2.1.4</t>
  </si>
  <si>
    <t>3.2.1.5</t>
  </si>
  <si>
    <t>3.2.2</t>
  </si>
  <si>
    <t>3.2.2.1</t>
  </si>
  <si>
    <t>3.2.2.2</t>
  </si>
  <si>
    <t>3.2.2.2.1</t>
  </si>
  <si>
    <t>3.2.2.2.2</t>
  </si>
  <si>
    <t>3.2.2.2.3</t>
  </si>
  <si>
    <t>3.2.2.2.4</t>
  </si>
  <si>
    <t>3.2.2.2.5</t>
  </si>
  <si>
    <t>3.2.2.2.6</t>
  </si>
  <si>
    <t>3.2.2.3</t>
  </si>
  <si>
    <t>3.2.2.3.1</t>
  </si>
  <si>
    <t>3.2.2.3.2</t>
  </si>
  <si>
    <t>3.2.2.3.3</t>
  </si>
  <si>
    <t>3.2.2.3.4</t>
  </si>
  <si>
    <t>3.2.2.4</t>
  </si>
  <si>
    <t>3.2.2.4.1</t>
  </si>
  <si>
    <t>3.2.2.4.2</t>
  </si>
  <si>
    <t>3.2.2.4.3</t>
  </si>
  <si>
    <t>3.2.2.4.4</t>
  </si>
  <si>
    <t>3.2.2.4.5</t>
  </si>
  <si>
    <t>3.2.2.4.6</t>
  </si>
  <si>
    <t>3.2.2.5</t>
  </si>
  <si>
    <t>3.2.2.5.1</t>
  </si>
  <si>
    <t>3.2.2.5.2</t>
  </si>
  <si>
    <t>3.2.2.5.3</t>
  </si>
  <si>
    <t>3.2.2.6</t>
  </si>
  <si>
    <t>3.2.2.6.1</t>
  </si>
  <si>
    <t>3.2.2.6.2</t>
  </si>
  <si>
    <t>3.2.2.6.3</t>
  </si>
  <si>
    <t>3.2.2.6.4</t>
  </si>
  <si>
    <t>3.2.2.7</t>
  </si>
  <si>
    <t>3.2.2.7.1</t>
  </si>
  <si>
    <t>3.2.2.7.2</t>
  </si>
  <si>
    <t>3.2.2.7.3</t>
  </si>
  <si>
    <t>3.2.2.7.4</t>
  </si>
  <si>
    <t>3.3</t>
  </si>
  <si>
    <t>3.3.1</t>
  </si>
  <si>
    <t>3.3.2</t>
  </si>
  <si>
    <t>3.3.3</t>
  </si>
  <si>
    <t>3.3.4</t>
  </si>
  <si>
    <t>3.4</t>
  </si>
  <si>
    <t>3.4.1</t>
  </si>
  <si>
    <t>3.4.2</t>
  </si>
  <si>
    <t>3.4.3</t>
  </si>
  <si>
    <t>3.4.4</t>
  </si>
  <si>
    <t>3.5</t>
  </si>
  <si>
    <t>3.5.1</t>
  </si>
  <si>
    <t>3.5.2</t>
  </si>
  <si>
    <t>3.5.3</t>
  </si>
  <si>
    <t>3.5.4</t>
  </si>
  <si>
    <t>3.5.5</t>
  </si>
  <si>
    <t>3.6</t>
  </si>
  <si>
    <t>3.6.1</t>
  </si>
  <si>
    <t>3.6.2</t>
  </si>
  <si>
    <t>3.6.3</t>
  </si>
  <si>
    <t>3.6.4</t>
  </si>
  <si>
    <t>4</t>
  </si>
  <si>
    <t>4.1</t>
  </si>
  <si>
    <t>4.1.1</t>
  </si>
  <si>
    <t>4.1.2</t>
  </si>
  <si>
    <t>4.1.2.1</t>
  </si>
  <si>
    <t>4.1.2.2</t>
  </si>
  <si>
    <t>4.1.3</t>
  </si>
  <si>
    <t>4.1.4</t>
  </si>
  <si>
    <t>4.1.5</t>
  </si>
  <si>
    <t>4.2</t>
  </si>
  <si>
    <t>4.2.1</t>
  </si>
  <si>
    <t>4.2.2</t>
  </si>
  <si>
    <t>4.3</t>
  </si>
  <si>
    <t>4.3.1</t>
  </si>
  <si>
    <t>4.3.2</t>
  </si>
  <si>
    <t>4.3.3</t>
  </si>
  <si>
    <t>4.3.4</t>
  </si>
  <si>
    <t>4.3.5</t>
  </si>
  <si>
    <t>4.4</t>
  </si>
  <si>
    <t>5</t>
  </si>
  <si>
    <t>5.1</t>
  </si>
  <si>
    <t>5.1.1</t>
  </si>
  <si>
    <t>5.1.2</t>
  </si>
  <si>
    <t>5.2</t>
  </si>
  <si>
    <t>5.2.1</t>
  </si>
  <si>
    <t>5.2.2</t>
  </si>
  <si>
    <t>5.3</t>
  </si>
  <si>
    <t>5.3.1</t>
  </si>
  <si>
    <t>5.3.2</t>
  </si>
  <si>
    <t>5.4</t>
  </si>
  <si>
    <t>6</t>
  </si>
  <si>
    <t>6.1</t>
  </si>
  <si>
    <t>6.2</t>
  </si>
  <si>
    <t>6.3</t>
  </si>
  <si>
    <t>6.4</t>
  </si>
  <si>
    <t>6.5</t>
  </si>
  <si>
    <t>7</t>
  </si>
  <si>
    <t>7.1</t>
  </si>
  <si>
    <t>7.1.1</t>
  </si>
  <si>
    <t>7.1.2</t>
  </si>
  <si>
    <t>7.1.2.1</t>
  </si>
  <si>
    <t>7.1.2.2</t>
  </si>
  <si>
    <t>7.1.2.3</t>
  </si>
  <si>
    <t>7.1.3</t>
  </si>
  <si>
    <t>7.1.4</t>
  </si>
  <si>
    <t>7.1.5</t>
  </si>
  <si>
    <t>7.1.6</t>
  </si>
  <si>
    <t>7.2</t>
  </si>
  <si>
    <t>7.3</t>
  </si>
  <si>
    <t>8</t>
  </si>
  <si>
    <t>8.1</t>
  </si>
  <si>
    <t>8.1.1</t>
  </si>
  <si>
    <t>8.1.2</t>
  </si>
  <si>
    <t>8.1.3</t>
  </si>
  <si>
    <t>8.2</t>
  </si>
  <si>
    <t>9</t>
  </si>
  <si>
    <t>9.1</t>
  </si>
  <si>
    <t>9.2</t>
  </si>
  <si>
    <t>Источник</t>
  </si>
  <si>
    <t>A Экономическая эффективность</t>
  </si>
  <si>
    <t>B Эффективность пожаротушения</t>
  </si>
  <si>
    <t>A</t>
  </si>
  <si>
    <t>B</t>
  </si>
  <si>
    <t>1.1.1. Рациональная организация и планирование обучения</t>
  </si>
  <si>
    <t>1.2.1. Наличие оборудованного гаража для хранения техники</t>
  </si>
  <si>
    <t>1.2.2. Необходимые технические условия для обслуживания техники</t>
  </si>
  <si>
    <t>Source</t>
  </si>
  <si>
    <t>Type</t>
  </si>
  <si>
    <t>Directed</t>
  </si>
  <si>
    <t>Эффективность пожаротушения</t>
  </si>
  <si>
    <t>9.     Отдых после дежурства – Повышение качество восстановления и подготовке к дежурству</t>
  </si>
  <si>
    <t>1.     Направленность – поддержание рабочего состояния организации</t>
  </si>
  <si>
    <t>1.1.                     Функционирование</t>
  </si>
  <si>
    <t>1.1.1. Постоянный приток ресурсов</t>
  </si>
  <si>
    <t>1.1.2. Техническое обслуживание</t>
  </si>
  <si>
    <t xml:space="preserve">1.1.3. Контроль деятельности  </t>
  </si>
  <si>
    <t>1.2.                    Усовершенствование</t>
  </si>
  <si>
    <t>1.2.1. Повышение производительности труда</t>
  </si>
  <si>
    <t>1.2.2. Увеличение доли товаров организации на рынке</t>
  </si>
  <si>
    <t>1.3.                    Развитие</t>
  </si>
  <si>
    <t>1.3.1. Рост организации</t>
  </si>
  <si>
    <t>1.3.2. Расширение организации</t>
  </si>
  <si>
    <t>1.3.3. Обучение персонала</t>
  </si>
  <si>
    <t>1.3.4. Прогресс</t>
  </si>
  <si>
    <t xml:space="preserve">1.3.5. Расширение ассортимента производимых товаров и услуг </t>
  </si>
  <si>
    <t>1.3.6. Инновации в области менеджмента</t>
  </si>
  <si>
    <t>1.3.7. Реорганизация структуры управления</t>
  </si>
  <si>
    <t>2.     Критерии – по отношению к основным показателям успешной деятельности организации</t>
  </si>
  <si>
    <t>2.1.                    Продуктивность</t>
  </si>
  <si>
    <t>2.1.1. В расчете на одного работника</t>
  </si>
  <si>
    <t>2.1.2. В расчете на производственные мощности</t>
  </si>
  <si>
    <t>2.1.3. В расчете на единицу времени</t>
  </si>
  <si>
    <t>2.2.                    Рыночные критерии</t>
  </si>
  <si>
    <t>2.2.1. Устойчивость спроса на товар или услугу</t>
  </si>
  <si>
    <t>2.2.2. Доля товара или услуге на рынке</t>
  </si>
  <si>
    <t>2.2.3. Объем продаж</t>
  </si>
  <si>
    <t>2.3.                    Ресурсы</t>
  </si>
  <si>
    <t>2.3.1. Сокращение объемов кредитов</t>
  </si>
  <si>
    <t>2.3.2. Прогнозирование финансовых вливаний</t>
  </si>
  <si>
    <t>2.3.3. Повышение производительности труда</t>
  </si>
  <si>
    <t>2.3.4. Сокращение текучести кадров</t>
  </si>
  <si>
    <t>2.4.                    Обновление</t>
  </si>
  <si>
    <t>2.4.1. Приспосабливаемость к внешним условиям</t>
  </si>
  <si>
    <t>2.4.1.1.     Политические условия</t>
  </si>
  <si>
    <t>2.4.1.2.     Социальные и демографические</t>
  </si>
  <si>
    <t>2.4.1.3.     Рыночные</t>
  </si>
  <si>
    <t>2.4.1.4.     Климатические</t>
  </si>
  <si>
    <t>2.4.2. Конкурентоспособность</t>
  </si>
  <si>
    <t>2.5.                    Прибыльность</t>
  </si>
  <si>
    <t>2.5.1. Повышение рентабельности</t>
  </si>
  <si>
    <t>2.5.2. Увеличение дивидендов</t>
  </si>
  <si>
    <t>2.6.                    Социальная ответственность</t>
  </si>
  <si>
    <t>3.     Ориентация по времени</t>
  </si>
  <si>
    <t>3.1.                     Текущие цели</t>
  </si>
  <si>
    <t>3.2.                     Среднесрочные цели</t>
  </si>
  <si>
    <t>3.3.                     Долгосрочные цели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</si>
</sst>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"/>
  </numFmts>
  <fonts count="2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2"/>
      <color theme="1"/>
      <name val="Calibri"/>
      <family val="2"/>
      <charset val="204"/>
      <scheme val="minor"/>
    </font>
    <font>
      <sz val="11"/>
      <color rgb="FF00B0F0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6" fillId="0" borderId="0" xfId="0" applyFont="1"/>
    <xf numFmtId="0" fontId="20" fillId="0" borderId="10" xfId="0" applyFont="1" applyBorder="1" applyAlignment="1">
      <alignment horizontal="center" vertical="center"/>
    </xf>
    <xf numFmtId="0" fontId="20" fillId="0" borderId="11" xfId="0" applyFont="1" applyFill="1" applyBorder="1" applyAlignment="1">
      <alignment horizontal="center" vertical="center"/>
    </xf>
    <xf numFmtId="0" fontId="20" fillId="0" borderId="10" xfId="0" applyFont="1" applyFill="1" applyBorder="1" applyAlignment="1">
      <alignment horizontal="center" vertical="center"/>
    </xf>
    <xf numFmtId="0" fontId="20" fillId="0" borderId="10" xfId="0" applyFont="1" applyBorder="1" applyAlignment="1">
      <alignment horizontal="left" vertical="center" wrapText="1"/>
    </xf>
    <xf numFmtId="0" fontId="16" fillId="33" borderId="0" xfId="0" applyFont="1" applyFill="1" applyAlignment="1">
      <alignment horizontal="center"/>
    </xf>
    <xf numFmtId="0" fontId="16" fillId="34" borderId="0" xfId="0" applyFont="1" applyFill="1" applyAlignment="1">
      <alignment horizontal="center"/>
    </xf>
    <xf numFmtId="0" fontId="16" fillId="35" borderId="0" xfId="0" applyFont="1" applyFill="1" applyAlignment="1">
      <alignment horizontal="center"/>
    </xf>
    <xf numFmtId="0" fontId="0" fillId="0" borderId="0" xfId="0" applyFont="1"/>
    <xf numFmtId="0" fontId="21" fillId="0" borderId="0" xfId="0" applyFont="1" applyAlignment="1">
      <alignment horizontal="center"/>
    </xf>
    <xf numFmtId="164" fontId="0" fillId="0" borderId="0" xfId="0" applyNumberFormat="1"/>
    <xf numFmtId="0" fontId="0" fillId="0" borderId="0" xfId="0" applyAlignment="1">
      <alignment textRotation="90"/>
    </xf>
    <xf numFmtId="0" fontId="0" fillId="36" borderId="0" xfId="0" applyFill="1"/>
    <xf numFmtId="0" fontId="22" fillId="0" borderId="10" xfId="0" applyFont="1" applyBorder="1" applyAlignment="1">
      <alignment horizontal="center" vertical="center"/>
    </xf>
    <xf numFmtId="0" fontId="22" fillId="0" borderId="10" xfId="0" applyFont="1" applyBorder="1" applyAlignment="1">
      <alignment horizontal="left" vertical="center" wrapText="1"/>
    </xf>
    <xf numFmtId="0" fontId="0" fillId="36" borderId="0" xfId="0" applyFill="1" applyAlignment="1">
      <alignment horizontal="center" vertical="center" textRotation="180"/>
    </xf>
    <xf numFmtId="0" fontId="20" fillId="0" borderId="10" xfId="0" applyFont="1" applyBorder="1" applyAlignment="1">
      <alignment horizontal="center" vertical="center" wrapText="1"/>
    </xf>
  </cellXfs>
  <cellStyles count="42">
    <cellStyle name="20% - Акцент1" xfId="19" builtinId="30" customBuiltin="1"/>
    <cellStyle name="20% - Акцент2" xfId="23" builtinId="34" customBuiltin="1"/>
    <cellStyle name="20% - Акцент3" xfId="27" builtinId="38" customBuiltin="1"/>
    <cellStyle name="20% - Акцент4" xfId="31" builtinId="42" customBuiltin="1"/>
    <cellStyle name="20% - Акцент5" xfId="35" builtinId="46" customBuiltin="1"/>
    <cellStyle name="20% - Акцент6" xfId="39" builtinId="50" customBuiltin="1"/>
    <cellStyle name="40% - Акцент1" xfId="20" builtinId="31" customBuiltin="1"/>
    <cellStyle name="40% - Акцент2" xfId="24" builtinId="35" customBuiltin="1"/>
    <cellStyle name="40% - Акцент3" xfId="28" builtinId="39" customBuiltin="1"/>
    <cellStyle name="40% - Акцент4" xfId="32" builtinId="43" customBuiltin="1"/>
    <cellStyle name="40% - Акцент5" xfId="36" builtinId="47" customBuiltin="1"/>
    <cellStyle name="40% - Акцент6" xfId="40" builtinId="51" customBuiltin="1"/>
    <cellStyle name="60% - Акцент1" xfId="21" builtinId="32" customBuiltin="1"/>
    <cellStyle name="60% - Акцент2" xfId="25" builtinId="36" customBuiltin="1"/>
    <cellStyle name="60% - Акцент3" xfId="29" builtinId="40" customBuiltin="1"/>
    <cellStyle name="60% - Акцент4" xfId="33" builtinId="44" customBuiltin="1"/>
    <cellStyle name="60% - Акцент5" xfId="37" builtinId="48" customBuiltin="1"/>
    <cellStyle name="60% -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name="node" connectionId="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node_1" connectionId="7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node" connectionId="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node_exp" connectionId="4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dge_exp" connectionId="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node" connectionId="9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node" connectionId="6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node_1" connectionId="8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queryTable" Target="../queryTables/query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rgb="FFFF0000"/>
  </sheetPr>
  <dimension ref="A1:C306"/>
  <sheetViews>
    <sheetView workbookViewId="0">
      <selection activeCell="B5" sqref="B5"/>
    </sheetView>
  </sheetViews>
  <sheetFormatPr defaultRowHeight="15" x14ac:dyDescent="0.25"/>
  <cols>
    <col min="1" max="1" width="5" customWidth="1"/>
    <col min="2" max="2" width="10" customWidth="1"/>
    <col min="3" max="3" width="7.85546875" bestFit="1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>
        <f>weight!A2</f>
        <v>0</v>
      </c>
      <c r="B2" t="str">
        <f>weight!B2</f>
        <v>0</v>
      </c>
    </row>
    <row r="3" spans="1:3" x14ac:dyDescent="0.25">
      <c r="A3">
        <v>1</v>
      </c>
      <c r="B3" t="str">
        <f>weight!B3</f>
        <v>1</v>
      </c>
    </row>
    <row r="4" spans="1:3" x14ac:dyDescent="0.25">
      <c r="A4">
        <v>2</v>
      </c>
      <c r="B4" t="str">
        <f>weight!B4</f>
        <v>1a</v>
      </c>
    </row>
    <row r="5" spans="1:3" x14ac:dyDescent="0.25">
      <c r="A5">
        <v>3</v>
      </c>
      <c r="B5" t="str">
        <f>weight!B5</f>
        <v>1a1</v>
      </c>
    </row>
    <row r="6" spans="1:3" x14ac:dyDescent="0.25">
      <c r="A6">
        <v>4</v>
      </c>
      <c r="B6" t="str">
        <f>weight!B6</f>
        <v>1a1a</v>
      </c>
    </row>
    <row r="7" spans="1:3" x14ac:dyDescent="0.25">
      <c r="A7">
        <v>5</v>
      </c>
      <c r="B7" t="str">
        <f>weight!B7</f>
        <v>1a1b</v>
      </c>
    </row>
    <row r="8" spans="1:3" x14ac:dyDescent="0.25">
      <c r="A8">
        <v>6</v>
      </c>
      <c r="B8" t="str">
        <f>weight!B8</f>
        <v>1a1c</v>
      </c>
    </row>
    <row r="9" spans="1:3" x14ac:dyDescent="0.25">
      <c r="A9">
        <v>7</v>
      </c>
      <c r="B9" t="str">
        <f>weight!B9</f>
        <v>1a1d</v>
      </c>
    </row>
    <row r="10" spans="1:3" x14ac:dyDescent="0.25">
      <c r="A10">
        <v>8</v>
      </c>
      <c r="B10" t="str">
        <f>weight!B10</f>
        <v>1a1e</v>
      </c>
    </row>
    <row r="11" spans="1:3" x14ac:dyDescent="0.25">
      <c r="A11">
        <v>9</v>
      </c>
      <c r="B11" t="str">
        <f>weight!B11</f>
        <v>1a2</v>
      </c>
    </row>
    <row r="12" spans="1:3" x14ac:dyDescent="0.25">
      <c r="A12">
        <v>10</v>
      </c>
      <c r="B12" t="str">
        <f>weight!B12</f>
        <v>1a2a</v>
      </c>
    </row>
    <row r="13" spans="1:3" x14ac:dyDescent="0.25">
      <c r="A13">
        <v>11</v>
      </c>
      <c r="B13" t="str">
        <f>weight!B13</f>
        <v>1a2b</v>
      </c>
    </row>
    <row r="14" spans="1:3" x14ac:dyDescent="0.25">
      <c r="A14">
        <v>12</v>
      </c>
      <c r="B14" t="str">
        <f>weight!B14</f>
        <v>1a2c</v>
      </c>
    </row>
    <row r="15" spans="1:3" x14ac:dyDescent="0.25">
      <c r="A15">
        <v>13</v>
      </c>
      <c r="B15" t="str">
        <f>weight!B15</f>
        <v>1a2d</v>
      </c>
    </row>
    <row r="16" spans="1:3" x14ac:dyDescent="0.25">
      <c r="A16">
        <v>14</v>
      </c>
      <c r="B16" t="str">
        <f>weight!B16</f>
        <v>1a2e</v>
      </c>
    </row>
    <row r="17" spans="1:2" x14ac:dyDescent="0.25">
      <c r="A17">
        <v>15</v>
      </c>
      <c r="B17" t="str">
        <f>weight!B17</f>
        <v>1a2f</v>
      </c>
    </row>
    <row r="18" spans="1:2" x14ac:dyDescent="0.25">
      <c r="A18">
        <f>A17+1</f>
        <v>16</v>
      </c>
      <c r="B18" t="str">
        <f>weight!B18</f>
        <v>1a2g</v>
      </c>
    </row>
    <row r="19" spans="1:2" x14ac:dyDescent="0.25">
      <c r="A19">
        <f t="shared" ref="A19:A82" si="0">A18+1</f>
        <v>17</v>
      </c>
      <c r="B19" t="str">
        <f>weight!B19</f>
        <v>1a2h</v>
      </c>
    </row>
    <row r="20" spans="1:2" x14ac:dyDescent="0.25">
      <c r="A20">
        <f t="shared" si="0"/>
        <v>18</v>
      </c>
      <c r="B20" t="str">
        <f>weight!B20</f>
        <v>1a3</v>
      </c>
    </row>
    <row r="21" spans="1:2" x14ac:dyDescent="0.25">
      <c r="A21">
        <f t="shared" si="0"/>
        <v>19</v>
      </c>
      <c r="B21" t="str">
        <f>weight!B21</f>
        <v>1a3a</v>
      </c>
    </row>
    <row r="22" spans="1:2" x14ac:dyDescent="0.25">
      <c r="A22">
        <f t="shared" si="0"/>
        <v>20</v>
      </c>
      <c r="B22" t="str">
        <f>weight!B22</f>
        <v>1a3a1</v>
      </c>
    </row>
    <row r="23" spans="1:2" x14ac:dyDescent="0.25">
      <c r="A23">
        <f t="shared" si="0"/>
        <v>21</v>
      </c>
      <c r="B23" t="str">
        <f>weight!B23</f>
        <v>1a3a2</v>
      </c>
    </row>
    <row r="24" spans="1:2" x14ac:dyDescent="0.25">
      <c r="A24">
        <f t="shared" si="0"/>
        <v>22</v>
      </c>
      <c r="B24" t="str">
        <f>weight!B24</f>
        <v>1a3a3</v>
      </c>
    </row>
    <row r="25" spans="1:2" x14ac:dyDescent="0.25">
      <c r="A25">
        <f t="shared" si="0"/>
        <v>23</v>
      </c>
      <c r="B25" t="str">
        <f>weight!B25</f>
        <v>1a3a4</v>
      </c>
    </row>
    <row r="26" spans="1:2" x14ac:dyDescent="0.25">
      <c r="A26">
        <f t="shared" si="0"/>
        <v>24</v>
      </c>
      <c r="B26" t="str">
        <f>weight!B26</f>
        <v>1a3a5</v>
      </c>
    </row>
    <row r="27" spans="1:2" x14ac:dyDescent="0.25">
      <c r="A27">
        <f t="shared" si="0"/>
        <v>25</v>
      </c>
      <c r="B27" t="str">
        <f>weight!B27</f>
        <v>1a3a6</v>
      </c>
    </row>
    <row r="28" spans="1:2" x14ac:dyDescent="0.25">
      <c r="A28">
        <f t="shared" si="0"/>
        <v>26</v>
      </c>
      <c r="B28" t="str">
        <f>weight!B28</f>
        <v>1a3a7</v>
      </c>
    </row>
    <row r="29" spans="1:2" x14ac:dyDescent="0.25">
      <c r="A29">
        <f t="shared" si="0"/>
        <v>27</v>
      </c>
      <c r="B29" t="str">
        <f>weight!B29</f>
        <v>1a3a8</v>
      </c>
    </row>
    <row r="30" spans="1:2" x14ac:dyDescent="0.25">
      <c r="A30">
        <f t="shared" si="0"/>
        <v>28</v>
      </c>
      <c r="B30" t="str">
        <f>weight!B30</f>
        <v>1a3a9</v>
      </c>
    </row>
    <row r="31" spans="1:2" x14ac:dyDescent="0.25">
      <c r="A31">
        <f t="shared" si="0"/>
        <v>29</v>
      </c>
      <c r="B31" t="str">
        <f>weight!B31</f>
        <v>1a3b</v>
      </c>
    </row>
    <row r="32" spans="1:2" x14ac:dyDescent="0.25">
      <c r="A32">
        <f t="shared" si="0"/>
        <v>30</v>
      </c>
      <c r="B32" t="str">
        <f>weight!B32</f>
        <v>1a3b1</v>
      </c>
    </row>
    <row r="33" spans="1:2" x14ac:dyDescent="0.25">
      <c r="A33">
        <f t="shared" si="0"/>
        <v>31</v>
      </c>
      <c r="B33" t="str">
        <f>weight!B33</f>
        <v>1a3b2</v>
      </c>
    </row>
    <row r="34" spans="1:2" x14ac:dyDescent="0.25">
      <c r="A34">
        <f t="shared" si="0"/>
        <v>32</v>
      </c>
      <c r="B34" t="str">
        <f>weight!B34</f>
        <v>1a3b3</v>
      </c>
    </row>
    <row r="35" spans="1:2" x14ac:dyDescent="0.25">
      <c r="A35">
        <f t="shared" si="0"/>
        <v>33</v>
      </c>
      <c r="B35" t="str">
        <f>weight!B35</f>
        <v>1a3b4</v>
      </c>
    </row>
    <row r="36" spans="1:2" x14ac:dyDescent="0.25">
      <c r="A36">
        <f t="shared" si="0"/>
        <v>34</v>
      </c>
      <c r="B36" t="str">
        <f>weight!B36</f>
        <v>1a3b5</v>
      </c>
    </row>
    <row r="37" spans="1:2" x14ac:dyDescent="0.25">
      <c r="A37">
        <f t="shared" si="0"/>
        <v>35</v>
      </c>
      <c r="B37" t="str">
        <f>weight!B37</f>
        <v>1a3b6</v>
      </c>
    </row>
    <row r="38" spans="1:2" x14ac:dyDescent="0.25">
      <c r="A38">
        <f t="shared" si="0"/>
        <v>36</v>
      </c>
      <c r="B38" t="str">
        <f>weight!B38</f>
        <v>1a3b7</v>
      </c>
    </row>
    <row r="39" spans="1:2" x14ac:dyDescent="0.25">
      <c r="A39">
        <f t="shared" si="0"/>
        <v>37</v>
      </c>
      <c r="B39" t="str">
        <f>weight!B39</f>
        <v>1a3b8</v>
      </c>
    </row>
    <row r="40" spans="1:2" x14ac:dyDescent="0.25">
      <c r="A40">
        <f t="shared" si="0"/>
        <v>38</v>
      </c>
      <c r="B40" t="str">
        <f>weight!B40</f>
        <v>1a3b9</v>
      </c>
    </row>
    <row r="41" spans="1:2" x14ac:dyDescent="0.25">
      <c r="A41">
        <f t="shared" si="0"/>
        <v>39</v>
      </c>
      <c r="B41" t="str">
        <f>weight!B41</f>
        <v>1a3b10</v>
      </c>
    </row>
    <row r="42" spans="1:2" x14ac:dyDescent="0.25">
      <c r="A42">
        <f t="shared" si="0"/>
        <v>40</v>
      </c>
      <c r="B42" t="str">
        <f>weight!B42</f>
        <v>1a3b11</v>
      </c>
    </row>
    <row r="43" spans="1:2" x14ac:dyDescent="0.25">
      <c r="A43">
        <f t="shared" si="0"/>
        <v>41</v>
      </c>
      <c r="B43" t="str">
        <f>weight!B43</f>
        <v>1a3c</v>
      </c>
    </row>
    <row r="44" spans="1:2" x14ac:dyDescent="0.25">
      <c r="A44">
        <f t="shared" si="0"/>
        <v>42</v>
      </c>
      <c r="B44" t="str">
        <f>weight!B44</f>
        <v>1a3c1</v>
      </c>
    </row>
    <row r="45" spans="1:2" x14ac:dyDescent="0.25">
      <c r="A45">
        <f t="shared" si="0"/>
        <v>43</v>
      </c>
      <c r="B45" t="str">
        <f>weight!B45</f>
        <v>1a3c2</v>
      </c>
    </row>
    <row r="46" spans="1:2" x14ac:dyDescent="0.25">
      <c r="A46">
        <f t="shared" si="0"/>
        <v>44</v>
      </c>
      <c r="B46" t="str">
        <f>weight!B46</f>
        <v>1a3c3</v>
      </c>
    </row>
    <row r="47" spans="1:2" x14ac:dyDescent="0.25">
      <c r="A47">
        <f t="shared" si="0"/>
        <v>45</v>
      </c>
      <c r="B47" t="str">
        <f>weight!B47</f>
        <v>1a3c4</v>
      </c>
    </row>
    <row r="48" spans="1:2" x14ac:dyDescent="0.25">
      <c r="A48">
        <f t="shared" si="0"/>
        <v>46</v>
      </c>
      <c r="B48" t="str">
        <f>weight!B48</f>
        <v>1a3c5</v>
      </c>
    </row>
    <row r="49" spans="1:2" x14ac:dyDescent="0.25">
      <c r="A49">
        <f t="shared" si="0"/>
        <v>47</v>
      </c>
      <c r="B49" t="str">
        <f>weight!B49</f>
        <v>1a3d</v>
      </c>
    </row>
    <row r="50" spans="1:2" x14ac:dyDescent="0.25">
      <c r="A50">
        <f t="shared" si="0"/>
        <v>48</v>
      </c>
      <c r="B50" t="str">
        <f>weight!B50</f>
        <v>1a3d1</v>
      </c>
    </row>
    <row r="51" spans="1:2" x14ac:dyDescent="0.25">
      <c r="A51">
        <f t="shared" si="0"/>
        <v>49</v>
      </c>
      <c r="B51" t="str">
        <f>weight!B51</f>
        <v>1a3d2</v>
      </c>
    </row>
    <row r="52" spans="1:2" x14ac:dyDescent="0.25">
      <c r="A52">
        <f t="shared" si="0"/>
        <v>50</v>
      </c>
      <c r="B52" t="str">
        <f>weight!B52</f>
        <v>1a3d3</v>
      </c>
    </row>
    <row r="53" spans="1:2" x14ac:dyDescent="0.25">
      <c r="A53">
        <f t="shared" si="0"/>
        <v>51</v>
      </c>
      <c r="B53" t="str">
        <f>weight!B53</f>
        <v>1a3d4</v>
      </c>
    </row>
    <row r="54" spans="1:2" x14ac:dyDescent="0.25">
      <c r="A54">
        <f t="shared" si="0"/>
        <v>52</v>
      </c>
      <c r="B54" t="str">
        <f>weight!B54</f>
        <v>1a3d5</v>
      </c>
    </row>
    <row r="55" spans="1:2" x14ac:dyDescent="0.25">
      <c r="A55">
        <f t="shared" si="0"/>
        <v>53</v>
      </c>
      <c r="B55" t="str">
        <f>weight!B55</f>
        <v>1a3e</v>
      </c>
    </row>
    <row r="56" spans="1:2" x14ac:dyDescent="0.25">
      <c r="A56">
        <f t="shared" si="0"/>
        <v>54</v>
      </c>
      <c r="B56" t="str">
        <f>weight!B56</f>
        <v>1a3e1</v>
      </c>
    </row>
    <row r="57" spans="1:2" x14ac:dyDescent="0.25">
      <c r="A57">
        <f t="shared" si="0"/>
        <v>55</v>
      </c>
      <c r="B57" t="str">
        <f>weight!B57</f>
        <v>1a3e2</v>
      </c>
    </row>
    <row r="58" spans="1:2" x14ac:dyDescent="0.25">
      <c r="A58">
        <f t="shared" si="0"/>
        <v>56</v>
      </c>
      <c r="B58" t="str">
        <f>weight!B58</f>
        <v>1a3e3</v>
      </c>
    </row>
    <row r="59" spans="1:2" x14ac:dyDescent="0.25">
      <c r="A59">
        <f t="shared" si="0"/>
        <v>57</v>
      </c>
      <c r="B59" t="str">
        <f>weight!B59</f>
        <v>1a3f</v>
      </c>
    </row>
    <row r="60" spans="1:2" x14ac:dyDescent="0.25">
      <c r="A60">
        <f t="shared" si="0"/>
        <v>58</v>
      </c>
      <c r="B60" t="str">
        <f>weight!B60</f>
        <v>1a3f1</v>
      </c>
    </row>
    <row r="61" spans="1:2" x14ac:dyDescent="0.25">
      <c r="A61">
        <f t="shared" si="0"/>
        <v>59</v>
      </c>
      <c r="B61" t="str">
        <f>weight!B61</f>
        <v>1a3f2</v>
      </c>
    </row>
    <row r="62" spans="1:2" x14ac:dyDescent="0.25">
      <c r="A62">
        <f t="shared" si="0"/>
        <v>60</v>
      </c>
      <c r="B62" t="str">
        <f>weight!B62</f>
        <v>1a3f3</v>
      </c>
    </row>
    <row r="63" spans="1:2" x14ac:dyDescent="0.25">
      <c r="A63">
        <f t="shared" si="0"/>
        <v>61</v>
      </c>
      <c r="B63" t="str">
        <f>weight!B63</f>
        <v>1a3g</v>
      </c>
    </row>
    <row r="64" spans="1:2" x14ac:dyDescent="0.25">
      <c r="A64">
        <f t="shared" si="0"/>
        <v>62</v>
      </c>
      <c r="B64" t="str">
        <f>weight!B64</f>
        <v>1a3g1</v>
      </c>
    </row>
    <row r="65" spans="1:2" x14ac:dyDescent="0.25">
      <c r="A65">
        <f t="shared" si="0"/>
        <v>63</v>
      </c>
      <c r="B65" t="str">
        <f>weight!B65</f>
        <v>1a3g2</v>
      </c>
    </row>
    <row r="66" spans="1:2" x14ac:dyDescent="0.25">
      <c r="A66">
        <f t="shared" si="0"/>
        <v>64</v>
      </c>
      <c r="B66" t="str">
        <f>weight!B66</f>
        <v>1a3h</v>
      </c>
    </row>
    <row r="67" spans="1:2" x14ac:dyDescent="0.25">
      <c r="A67">
        <f t="shared" si="0"/>
        <v>65</v>
      </c>
      <c r="B67" t="str">
        <f>weight!B67</f>
        <v>1a3i</v>
      </c>
    </row>
    <row r="68" spans="1:2" x14ac:dyDescent="0.25">
      <c r="A68">
        <f t="shared" si="0"/>
        <v>66</v>
      </c>
      <c r="B68" t="str">
        <f>weight!B68</f>
        <v>1a3i1</v>
      </c>
    </row>
    <row r="69" spans="1:2" x14ac:dyDescent="0.25">
      <c r="A69">
        <f t="shared" si="0"/>
        <v>67</v>
      </c>
      <c r="B69" t="str">
        <f>weight!B69</f>
        <v>1a3i2</v>
      </c>
    </row>
    <row r="70" spans="1:2" x14ac:dyDescent="0.25">
      <c r="A70">
        <f t="shared" si="0"/>
        <v>68</v>
      </c>
      <c r="B70" t="str">
        <f>weight!B70</f>
        <v>1a3i3</v>
      </c>
    </row>
    <row r="71" spans="1:2" x14ac:dyDescent="0.25">
      <c r="A71">
        <f t="shared" si="0"/>
        <v>69</v>
      </c>
      <c r="B71" t="str">
        <f>weight!B71</f>
        <v>1a3j</v>
      </c>
    </row>
    <row r="72" spans="1:2" x14ac:dyDescent="0.25">
      <c r="A72">
        <f t="shared" si="0"/>
        <v>70</v>
      </c>
      <c r="B72" t="str">
        <f>weight!B72</f>
        <v>1a3k</v>
      </c>
    </row>
    <row r="73" spans="1:2" x14ac:dyDescent="0.25">
      <c r="A73">
        <f t="shared" si="0"/>
        <v>71</v>
      </c>
      <c r="B73" t="str">
        <f>weight!B73</f>
        <v>1a3l</v>
      </c>
    </row>
    <row r="74" spans="1:2" x14ac:dyDescent="0.25">
      <c r="A74">
        <f t="shared" si="0"/>
        <v>72</v>
      </c>
      <c r="B74" t="str">
        <f>weight!B74</f>
        <v>1a4</v>
      </c>
    </row>
    <row r="75" spans="1:2" x14ac:dyDescent="0.25">
      <c r="A75">
        <f t="shared" si="0"/>
        <v>73</v>
      </c>
      <c r="B75" t="str">
        <f>weight!B75</f>
        <v>1a4a</v>
      </c>
    </row>
    <row r="76" spans="1:2" x14ac:dyDescent="0.25">
      <c r="A76">
        <f t="shared" si="0"/>
        <v>74</v>
      </c>
      <c r="B76" t="str">
        <f>weight!B76</f>
        <v>1a4b</v>
      </c>
    </row>
    <row r="77" spans="1:2" x14ac:dyDescent="0.25">
      <c r="A77">
        <f t="shared" si="0"/>
        <v>75</v>
      </c>
      <c r="B77" t="str">
        <f>weight!B77</f>
        <v>1a4c</v>
      </c>
    </row>
    <row r="78" spans="1:2" x14ac:dyDescent="0.25">
      <c r="A78">
        <f t="shared" si="0"/>
        <v>76</v>
      </c>
      <c r="B78" t="str">
        <f>weight!B78</f>
        <v>1a4d</v>
      </c>
    </row>
    <row r="79" spans="1:2" x14ac:dyDescent="0.25">
      <c r="A79">
        <f t="shared" si="0"/>
        <v>77</v>
      </c>
      <c r="B79" t="str">
        <f>weight!B79</f>
        <v>1a4e</v>
      </c>
    </row>
    <row r="80" spans="1:2" x14ac:dyDescent="0.25">
      <c r="A80">
        <f t="shared" si="0"/>
        <v>78</v>
      </c>
      <c r="B80" t="str">
        <f>weight!B80</f>
        <v>1a4f</v>
      </c>
    </row>
    <row r="81" spans="1:2" x14ac:dyDescent="0.25">
      <c r="A81">
        <f t="shared" si="0"/>
        <v>79</v>
      </c>
      <c r="B81" t="str">
        <f>weight!B81</f>
        <v>1a4g</v>
      </c>
    </row>
    <row r="82" spans="1:2" x14ac:dyDescent="0.25">
      <c r="A82">
        <f t="shared" si="0"/>
        <v>80</v>
      </c>
      <c r="B82" t="str">
        <f>weight!B82</f>
        <v>1a5</v>
      </c>
    </row>
    <row r="83" spans="1:2" x14ac:dyDescent="0.25">
      <c r="A83">
        <f t="shared" ref="A83:A146" si="1">A82+1</f>
        <v>81</v>
      </c>
      <c r="B83" t="str">
        <f>weight!B83</f>
        <v>1a5a</v>
      </c>
    </row>
    <row r="84" spans="1:2" x14ac:dyDescent="0.25">
      <c r="A84">
        <f t="shared" si="1"/>
        <v>82</v>
      </c>
      <c r="B84" t="str">
        <f>weight!B84</f>
        <v>1a5b</v>
      </c>
    </row>
    <row r="85" spans="1:2" x14ac:dyDescent="0.25">
      <c r="A85">
        <f t="shared" si="1"/>
        <v>83</v>
      </c>
      <c r="B85" t="str">
        <f>weight!B85</f>
        <v>1a5c</v>
      </c>
    </row>
    <row r="86" spans="1:2" x14ac:dyDescent="0.25">
      <c r="A86">
        <f t="shared" si="1"/>
        <v>84</v>
      </c>
      <c r="B86" t="str">
        <f>weight!B86</f>
        <v>1a5d</v>
      </c>
    </row>
    <row r="87" spans="1:2" x14ac:dyDescent="0.25">
      <c r="A87">
        <f t="shared" si="1"/>
        <v>85</v>
      </c>
      <c r="B87" t="str">
        <f>weight!B87</f>
        <v>1a5e</v>
      </c>
    </row>
    <row r="88" spans="1:2" x14ac:dyDescent="0.25">
      <c r="A88">
        <f t="shared" si="1"/>
        <v>86</v>
      </c>
      <c r="B88" t="str">
        <f>weight!B88</f>
        <v>1a5f</v>
      </c>
    </row>
    <row r="89" spans="1:2" x14ac:dyDescent="0.25">
      <c r="A89">
        <f t="shared" si="1"/>
        <v>87</v>
      </c>
      <c r="B89" t="str">
        <f>weight!B89</f>
        <v>1a5g</v>
      </c>
    </row>
    <row r="90" spans="1:2" x14ac:dyDescent="0.25">
      <c r="A90">
        <f t="shared" si="1"/>
        <v>88</v>
      </c>
      <c r="B90" t="str">
        <f>weight!B90</f>
        <v>1a5h</v>
      </c>
    </row>
    <row r="91" spans="1:2" x14ac:dyDescent="0.25">
      <c r="A91">
        <f t="shared" si="1"/>
        <v>89</v>
      </c>
      <c r="B91" t="str">
        <f>weight!B91</f>
        <v>1b</v>
      </c>
    </row>
    <row r="92" spans="1:2" x14ac:dyDescent="0.25">
      <c r="A92">
        <f t="shared" si="1"/>
        <v>90</v>
      </c>
      <c r="B92" t="str">
        <f>weight!B92</f>
        <v>1b1</v>
      </c>
    </row>
    <row r="93" spans="1:2" x14ac:dyDescent="0.25">
      <c r="A93">
        <f t="shared" si="1"/>
        <v>91</v>
      </c>
      <c r="B93" t="str">
        <f>weight!B93</f>
        <v>1b2</v>
      </c>
    </row>
    <row r="94" spans="1:2" x14ac:dyDescent="0.25">
      <c r="A94">
        <f t="shared" si="1"/>
        <v>92</v>
      </c>
      <c r="B94" t="str">
        <f>weight!B94</f>
        <v>1b3</v>
      </c>
    </row>
    <row r="95" spans="1:2" x14ac:dyDescent="0.25">
      <c r="A95">
        <f t="shared" si="1"/>
        <v>93</v>
      </c>
      <c r="B95" t="str">
        <f>weight!B95</f>
        <v>1b4</v>
      </c>
    </row>
    <row r="96" spans="1:2" x14ac:dyDescent="0.25">
      <c r="A96">
        <f t="shared" si="1"/>
        <v>94</v>
      </c>
      <c r="B96" t="str">
        <f>weight!B96</f>
        <v>1b5</v>
      </c>
    </row>
    <row r="97" spans="1:2" x14ac:dyDescent="0.25">
      <c r="A97">
        <f t="shared" si="1"/>
        <v>95</v>
      </c>
      <c r="B97" t="str">
        <f>weight!B97</f>
        <v>1b6</v>
      </c>
    </row>
    <row r="98" spans="1:2" x14ac:dyDescent="0.25">
      <c r="A98">
        <f t="shared" si="1"/>
        <v>96</v>
      </c>
      <c r="B98" t="str">
        <f>weight!B98</f>
        <v>1b7</v>
      </c>
    </row>
    <row r="99" spans="1:2" x14ac:dyDescent="0.25">
      <c r="A99">
        <f t="shared" si="1"/>
        <v>97</v>
      </c>
      <c r="B99" t="str">
        <f>weight!B99</f>
        <v>1b8</v>
      </c>
    </row>
    <row r="100" spans="1:2" x14ac:dyDescent="0.25">
      <c r="A100">
        <f t="shared" si="1"/>
        <v>98</v>
      </c>
      <c r="B100" t="str">
        <f>weight!B100</f>
        <v>1c</v>
      </c>
    </row>
    <row r="101" spans="1:2" x14ac:dyDescent="0.25">
      <c r="A101">
        <f t="shared" si="1"/>
        <v>99</v>
      </c>
      <c r="B101" t="str">
        <f>weight!B101</f>
        <v>1c1</v>
      </c>
    </row>
    <row r="102" spans="1:2" x14ac:dyDescent="0.25">
      <c r="A102">
        <f t="shared" si="1"/>
        <v>100</v>
      </c>
      <c r="B102" t="str">
        <f>weight!B102</f>
        <v>1c2</v>
      </c>
    </row>
    <row r="103" spans="1:2" x14ac:dyDescent="0.25">
      <c r="A103">
        <f t="shared" si="1"/>
        <v>101</v>
      </c>
      <c r="B103" t="str">
        <f>weight!B103</f>
        <v>1c3</v>
      </c>
    </row>
    <row r="104" spans="1:2" x14ac:dyDescent="0.25">
      <c r="A104">
        <f t="shared" si="1"/>
        <v>102</v>
      </c>
      <c r="B104" t="str">
        <f>weight!B104</f>
        <v>1d</v>
      </c>
    </row>
    <row r="105" spans="1:2" x14ac:dyDescent="0.25">
      <c r="A105">
        <f t="shared" si="1"/>
        <v>103</v>
      </c>
      <c r="B105" t="str">
        <f>weight!B105</f>
        <v>1d1</v>
      </c>
    </row>
    <row r="106" spans="1:2" x14ac:dyDescent="0.25">
      <c r="A106">
        <f t="shared" si="1"/>
        <v>104</v>
      </c>
      <c r="B106" t="str">
        <f>weight!B106</f>
        <v>1d1a</v>
      </c>
    </row>
    <row r="107" spans="1:2" x14ac:dyDescent="0.25">
      <c r="A107">
        <f t="shared" si="1"/>
        <v>105</v>
      </c>
      <c r="B107" t="str">
        <f>weight!B107</f>
        <v>1d1b</v>
      </c>
    </row>
    <row r="108" spans="1:2" x14ac:dyDescent="0.25">
      <c r="A108">
        <f t="shared" si="1"/>
        <v>106</v>
      </c>
      <c r="B108" t="str">
        <f>weight!B108</f>
        <v>1d1c</v>
      </c>
    </row>
    <row r="109" spans="1:2" x14ac:dyDescent="0.25">
      <c r="A109">
        <f t="shared" si="1"/>
        <v>107</v>
      </c>
      <c r="B109" t="str">
        <f>weight!B109</f>
        <v>1d1d</v>
      </c>
    </row>
    <row r="110" spans="1:2" x14ac:dyDescent="0.25">
      <c r="A110">
        <f t="shared" si="1"/>
        <v>108</v>
      </c>
      <c r="B110" t="str">
        <f>weight!B110</f>
        <v>1d1e</v>
      </c>
    </row>
    <row r="111" spans="1:2" x14ac:dyDescent="0.25">
      <c r="A111">
        <f t="shared" si="1"/>
        <v>109</v>
      </c>
      <c r="B111" t="str">
        <f>weight!B111</f>
        <v>1d1f</v>
      </c>
    </row>
    <row r="112" spans="1:2" x14ac:dyDescent="0.25">
      <c r="A112">
        <f t="shared" si="1"/>
        <v>110</v>
      </c>
      <c r="B112" t="str">
        <f>weight!B112</f>
        <v>1d2</v>
      </c>
    </row>
    <row r="113" spans="1:2" x14ac:dyDescent="0.25">
      <c r="A113">
        <f t="shared" si="1"/>
        <v>111</v>
      </c>
      <c r="B113" t="str">
        <f>weight!B113</f>
        <v>1d2a</v>
      </c>
    </row>
    <row r="114" spans="1:2" x14ac:dyDescent="0.25">
      <c r="A114">
        <f t="shared" si="1"/>
        <v>112</v>
      </c>
      <c r="B114" t="str">
        <f>weight!B114</f>
        <v>1d2b</v>
      </c>
    </row>
    <row r="115" spans="1:2" x14ac:dyDescent="0.25">
      <c r="A115">
        <f t="shared" si="1"/>
        <v>113</v>
      </c>
      <c r="B115" t="str">
        <f>weight!B115</f>
        <v>1d2c</v>
      </c>
    </row>
    <row r="116" spans="1:2" x14ac:dyDescent="0.25">
      <c r="A116">
        <f t="shared" si="1"/>
        <v>114</v>
      </c>
      <c r="B116" t="str">
        <f>weight!B116</f>
        <v>1d2d</v>
      </c>
    </row>
    <row r="117" spans="1:2" x14ac:dyDescent="0.25">
      <c r="A117">
        <f t="shared" si="1"/>
        <v>115</v>
      </c>
      <c r="B117" t="str">
        <f>weight!B117</f>
        <v>1d3</v>
      </c>
    </row>
    <row r="118" spans="1:2" x14ac:dyDescent="0.25">
      <c r="A118">
        <f t="shared" si="1"/>
        <v>116</v>
      </c>
      <c r="B118" t="str">
        <f>weight!B118</f>
        <v>1d3a</v>
      </c>
    </row>
    <row r="119" spans="1:2" x14ac:dyDescent="0.25">
      <c r="A119">
        <f t="shared" si="1"/>
        <v>117</v>
      </c>
      <c r="B119" t="str">
        <f>weight!B119</f>
        <v>1d3b</v>
      </c>
    </row>
    <row r="120" spans="1:2" x14ac:dyDescent="0.25">
      <c r="A120">
        <f t="shared" si="1"/>
        <v>118</v>
      </c>
      <c r="B120" t="str">
        <f>weight!B120</f>
        <v>1d3c</v>
      </c>
    </row>
    <row r="121" spans="1:2" x14ac:dyDescent="0.25">
      <c r="A121">
        <f t="shared" si="1"/>
        <v>119</v>
      </c>
      <c r="B121" t="str">
        <f>weight!B121</f>
        <v>1d3d</v>
      </c>
    </row>
    <row r="122" spans="1:2" x14ac:dyDescent="0.25">
      <c r="A122">
        <f t="shared" si="1"/>
        <v>120</v>
      </c>
      <c r="B122" t="str">
        <f>weight!B122</f>
        <v>1d3e</v>
      </c>
    </row>
    <row r="123" spans="1:2" x14ac:dyDescent="0.25">
      <c r="A123">
        <f t="shared" si="1"/>
        <v>121</v>
      </c>
      <c r="B123" t="str">
        <f>weight!B123</f>
        <v>1d3f</v>
      </c>
    </row>
    <row r="124" spans="1:2" x14ac:dyDescent="0.25">
      <c r="A124">
        <f t="shared" si="1"/>
        <v>122</v>
      </c>
      <c r="B124" t="str">
        <f>weight!B124</f>
        <v>1d3g</v>
      </c>
    </row>
    <row r="125" spans="1:2" x14ac:dyDescent="0.25">
      <c r="A125">
        <f t="shared" si="1"/>
        <v>123</v>
      </c>
      <c r="B125" t="str">
        <f>weight!B125</f>
        <v>1d3h</v>
      </c>
    </row>
    <row r="126" spans="1:2" x14ac:dyDescent="0.25">
      <c r="A126">
        <f t="shared" si="1"/>
        <v>124</v>
      </c>
      <c r="B126" t="str">
        <f>weight!B126</f>
        <v>1d3i</v>
      </c>
    </row>
    <row r="127" spans="1:2" x14ac:dyDescent="0.25">
      <c r="A127">
        <f t="shared" si="1"/>
        <v>125</v>
      </c>
      <c r="B127" t="str">
        <f>weight!B127</f>
        <v>1d3j</v>
      </c>
    </row>
    <row r="128" spans="1:2" x14ac:dyDescent="0.25">
      <c r="A128">
        <f t="shared" si="1"/>
        <v>126</v>
      </c>
      <c r="B128" t="str">
        <f>weight!B128</f>
        <v>1e</v>
      </c>
    </row>
    <row r="129" spans="1:2" x14ac:dyDescent="0.25">
      <c r="A129">
        <f t="shared" si="1"/>
        <v>127</v>
      </c>
      <c r="B129" t="str">
        <f>weight!B129</f>
        <v>1e1</v>
      </c>
    </row>
    <row r="130" spans="1:2" x14ac:dyDescent="0.25">
      <c r="A130">
        <f t="shared" si="1"/>
        <v>128</v>
      </c>
      <c r="B130" t="str">
        <f>weight!B130</f>
        <v>1e2</v>
      </c>
    </row>
    <row r="131" spans="1:2" x14ac:dyDescent="0.25">
      <c r="A131">
        <f t="shared" si="1"/>
        <v>129</v>
      </c>
      <c r="B131" t="str">
        <f>weight!B131</f>
        <v>1e3</v>
      </c>
    </row>
    <row r="132" spans="1:2" x14ac:dyDescent="0.25">
      <c r="A132">
        <f t="shared" si="1"/>
        <v>130</v>
      </c>
      <c r="B132" t="str">
        <f>weight!B132</f>
        <v>1f</v>
      </c>
    </row>
    <row r="133" spans="1:2" x14ac:dyDescent="0.25">
      <c r="A133">
        <f t="shared" si="1"/>
        <v>131</v>
      </c>
      <c r="B133" t="str">
        <f>weight!B133</f>
        <v>1f1</v>
      </c>
    </row>
    <row r="134" spans="1:2" x14ac:dyDescent="0.25">
      <c r="A134">
        <f t="shared" si="1"/>
        <v>132</v>
      </c>
      <c r="B134" t="str">
        <f>weight!B134</f>
        <v>1f2</v>
      </c>
    </row>
    <row r="135" spans="1:2" x14ac:dyDescent="0.25">
      <c r="A135">
        <f t="shared" si="1"/>
        <v>133</v>
      </c>
      <c r="B135" t="str">
        <f>weight!B135</f>
        <v>1f3</v>
      </c>
    </row>
    <row r="136" spans="1:2" x14ac:dyDescent="0.25">
      <c r="A136">
        <f t="shared" si="1"/>
        <v>134</v>
      </c>
      <c r="B136" t="str">
        <f>weight!B136</f>
        <v>2</v>
      </c>
    </row>
    <row r="137" spans="1:2" x14ac:dyDescent="0.25">
      <c r="A137">
        <f t="shared" si="1"/>
        <v>135</v>
      </c>
      <c r="B137" t="str">
        <f>weight!B137</f>
        <v>2a</v>
      </c>
    </row>
    <row r="138" spans="1:2" x14ac:dyDescent="0.25">
      <c r="A138">
        <f t="shared" si="1"/>
        <v>136</v>
      </c>
      <c r="B138" t="str">
        <f>weight!B138</f>
        <v>2a1</v>
      </c>
    </row>
    <row r="139" spans="1:2" x14ac:dyDescent="0.25">
      <c r="A139">
        <f t="shared" si="1"/>
        <v>137</v>
      </c>
      <c r="B139" t="str">
        <f>weight!B139</f>
        <v>2a1a</v>
      </c>
    </row>
    <row r="140" spans="1:2" x14ac:dyDescent="0.25">
      <c r="A140">
        <f t="shared" si="1"/>
        <v>138</v>
      </c>
      <c r="B140" t="str">
        <f>weight!B140</f>
        <v>2a1b</v>
      </c>
    </row>
    <row r="141" spans="1:2" x14ac:dyDescent="0.25">
      <c r="A141">
        <f t="shared" si="1"/>
        <v>139</v>
      </c>
      <c r="B141" t="str">
        <f>weight!B141</f>
        <v>2a1c</v>
      </c>
    </row>
    <row r="142" spans="1:2" x14ac:dyDescent="0.25">
      <c r="A142">
        <f t="shared" si="1"/>
        <v>140</v>
      </c>
      <c r="B142" t="str">
        <f>weight!B142</f>
        <v>2a1d</v>
      </c>
    </row>
    <row r="143" spans="1:2" x14ac:dyDescent="0.25">
      <c r="A143">
        <f t="shared" si="1"/>
        <v>141</v>
      </c>
      <c r="B143" t="str">
        <f>weight!B143</f>
        <v>2a2</v>
      </c>
    </row>
    <row r="144" spans="1:2" x14ac:dyDescent="0.25">
      <c r="A144">
        <f t="shared" si="1"/>
        <v>142</v>
      </c>
      <c r="B144" t="str">
        <f>weight!B144</f>
        <v>2a2a</v>
      </c>
    </row>
    <row r="145" spans="1:2" x14ac:dyDescent="0.25">
      <c r="A145">
        <f t="shared" si="1"/>
        <v>143</v>
      </c>
      <c r="B145" t="str">
        <f>weight!B145</f>
        <v>2a2b</v>
      </c>
    </row>
    <row r="146" spans="1:2" x14ac:dyDescent="0.25">
      <c r="A146">
        <f t="shared" si="1"/>
        <v>144</v>
      </c>
      <c r="B146" t="str">
        <f>weight!B146</f>
        <v>2a2c</v>
      </c>
    </row>
    <row r="147" spans="1:2" x14ac:dyDescent="0.25">
      <c r="A147">
        <f t="shared" ref="A147:A210" si="2">A146+1</f>
        <v>145</v>
      </c>
      <c r="B147" t="str">
        <f>weight!B147</f>
        <v>2a3</v>
      </c>
    </row>
    <row r="148" spans="1:2" x14ac:dyDescent="0.25">
      <c r="A148">
        <f t="shared" si="2"/>
        <v>146</v>
      </c>
      <c r="B148" t="str">
        <f>weight!B148</f>
        <v>2a3a</v>
      </c>
    </row>
    <row r="149" spans="1:2" x14ac:dyDescent="0.25">
      <c r="A149">
        <f t="shared" si="2"/>
        <v>147</v>
      </c>
      <c r="B149" t="str">
        <f>weight!B149</f>
        <v>2a3b</v>
      </c>
    </row>
    <row r="150" spans="1:2" x14ac:dyDescent="0.25">
      <c r="A150">
        <f t="shared" si="2"/>
        <v>148</v>
      </c>
      <c r="B150" t="str">
        <f>weight!B150</f>
        <v>2a3c</v>
      </c>
    </row>
    <row r="151" spans="1:2" x14ac:dyDescent="0.25">
      <c r="A151">
        <f t="shared" si="2"/>
        <v>149</v>
      </c>
      <c r="B151" t="str">
        <f>weight!B151</f>
        <v>2a3d</v>
      </c>
    </row>
    <row r="152" spans="1:2" x14ac:dyDescent="0.25">
      <c r="A152">
        <f t="shared" si="2"/>
        <v>150</v>
      </c>
      <c r="B152" t="str">
        <f>weight!B152</f>
        <v>2a3e</v>
      </c>
    </row>
    <row r="153" spans="1:2" x14ac:dyDescent="0.25">
      <c r="A153">
        <f t="shared" si="2"/>
        <v>151</v>
      </c>
      <c r="B153" t="str">
        <f>weight!B153</f>
        <v>2a4</v>
      </c>
    </row>
    <row r="154" spans="1:2" x14ac:dyDescent="0.25">
      <c r="A154">
        <f t="shared" si="2"/>
        <v>152</v>
      </c>
      <c r="B154" t="str">
        <f>weight!B154</f>
        <v>2b</v>
      </c>
    </row>
    <row r="155" spans="1:2" x14ac:dyDescent="0.25">
      <c r="A155">
        <f t="shared" si="2"/>
        <v>153</v>
      </c>
      <c r="B155" t="str">
        <f>weight!B155</f>
        <v>2b1</v>
      </c>
    </row>
    <row r="156" spans="1:2" x14ac:dyDescent="0.25">
      <c r="A156">
        <f t="shared" si="2"/>
        <v>154</v>
      </c>
      <c r="B156" t="str">
        <f>weight!B156</f>
        <v>2b1a</v>
      </c>
    </row>
    <row r="157" spans="1:2" x14ac:dyDescent="0.25">
      <c r="A157">
        <f t="shared" si="2"/>
        <v>155</v>
      </c>
      <c r="B157" t="str">
        <f>weight!B157</f>
        <v>2b2</v>
      </c>
    </row>
    <row r="158" spans="1:2" x14ac:dyDescent="0.25">
      <c r="A158">
        <f t="shared" si="2"/>
        <v>156</v>
      </c>
      <c r="B158" t="str">
        <f>weight!B158</f>
        <v>2b2a</v>
      </c>
    </row>
    <row r="159" spans="1:2" x14ac:dyDescent="0.25">
      <c r="A159">
        <f t="shared" si="2"/>
        <v>157</v>
      </c>
      <c r="B159" t="str">
        <f>weight!B159</f>
        <v>2b2b</v>
      </c>
    </row>
    <row r="160" spans="1:2" x14ac:dyDescent="0.25">
      <c r="A160">
        <f t="shared" si="2"/>
        <v>158</v>
      </c>
      <c r="B160" t="str">
        <f>weight!B160</f>
        <v>2b2c</v>
      </c>
    </row>
    <row r="161" spans="1:2" x14ac:dyDescent="0.25">
      <c r="A161">
        <f t="shared" si="2"/>
        <v>159</v>
      </c>
      <c r="B161" t="str">
        <f>weight!B161</f>
        <v>2b3</v>
      </c>
    </row>
    <row r="162" spans="1:2" x14ac:dyDescent="0.25">
      <c r="A162">
        <f t="shared" si="2"/>
        <v>160</v>
      </c>
      <c r="B162" t="str">
        <f>weight!B162</f>
        <v>2b3a</v>
      </c>
    </row>
    <row r="163" spans="1:2" x14ac:dyDescent="0.25">
      <c r="A163">
        <f t="shared" si="2"/>
        <v>161</v>
      </c>
      <c r="B163" t="str">
        <f>weight!B163</f>
        <v>2b4</v>
      </c>
    </row>
    <row r="164" spans="1:2" x14ac:dyDescent="0.25">
      <c r="A164">
        <f t="shared" si="2"/>
        <v>162</v>
      </c>
      <c r="B164" t="str">
        <f>weight!B164</f>
        <v>2b5</v>
      </c>
    </row>
    <row r="165" spans="1:2" x14ac:dyDescent="0.25">
      <c r="A165">
        <f t="shared" si="2"/>
        <v>163</v>
      </c>
      <c r="B165" t="str">
        <f>weight!B165</f>
        <v>2b6</v>
      </c>
    </row>
    <row r="166" spans="1:2" x14ac:dyDescent="0.25">
      <c r="A166">
        <f t="shared" si="2"/>
        <v>164</v>
      </c>
      <c r="B166" t="str">
        <f>weight!B166</f>
        <v>2c</v>
      </c>
    </row>
    <row r="167" spans="1:2" x14ac:dyDescent="0.25">
      <c r="A167">
        <f t="shared" si="2"/>
        <v>165</v>
      </c>
      <c r="B167" t="str">
        <f>weight!B167</f>
        <v>2c1</v>
      </c>
    </row>
    <row r="168" spans="1:2" x14ac:dyDescent="0.25">
      <c r="A168">
        <f t="shared" si="2"/>
        <v>166</v>
      </c>
      <c r="B168" t="str">
        <f>weight!B168</f>
        <v>2c2</v>
      </c>
    </row>
    <row r="169" spans="1:2" x14ac:dyDescent="0.25">
      <c r="A169">
        <f t="shared" si="2"/>
        <v>167</v>
      </c>
      <c r="B169" t="str">
        <f>weight!B169</f>
        <v>2c3</v>
      </c>
    </row>
    <row r="170" spans="1:2" x14ac:dyDescent="0.25">
      <c r="A170">
        <f t="shared" si="2"/>
        <v>168</v>
      </c>
      <c r="B170" t="str">
        <f>weight!B170</f>
        <v>2d</v>
      </c>
    </row>
    <row r="171" spans="1:2" x14ac:dyDescent="0.25">
      <c r="A171">
        <f t="shared" si="2"/>
        <v>169</v>
      </c>
      <c r="B171" t="str">
        <f>weight!B171</f>
        <v>2d1</v>
      </c>
    </row>
    <row r="172" spans="1:2" x14ac:dyDescent="0.25">
      <c r="A172">
        <f t="shared" si="2"/>
        <v>170</v>
      </c>
      <c r="B172" t="str">
        <f>weight!B172</f>
        <v>2d2</v>
      </c>
    </row>
    <row r="173" spans="1:2" x14ac:dyDescent="0.25">
      <c r="A173">
        <f t="shared" si="2"/>
        <v>171</v>
      </c>
      <c r="B173" t="str">
        <f>weight!B173</f>
        <v>2d3</v>
      </c>
    </row>
    <row r="174" spans="1:2" x14ac:dyDescent="0.25">
      <c r="A174">
        <f t="shared" si="2"/>
        <v>172</v>
      </c>
      <c r="B174" t="str">
        <f>weight!B174</f>
        <v>2d4</v>
      </c>
    </row>
    <row r="175" spans="1:2" x14ac:dyDescent="0.25">
      <c r="A175">
        <f t="shared" si="2"/>
        <v>173</v>
      </c>
      <c r="B175" t="str">
        <f>weight!B175</f>
        <v>2d5</v>
      </c>
    </row>
    <row r="176" spans="1:2" x14ac:dyDescent="0.25">
      <c r="A176">
        <f t="shared" si="2"/>
        <v>174</v>
      </c>
      <c r="B176" t="str">
        <f>weight!B176</f>
        <v>3</v>
      </c>
    </row>
    <row r="177" spans="1:2" x14ac:dyDescent="0.25">
      <c r="A177">
        <f t="shared" si="2"/>
        <v>175</v>
      </c>
      <c r="B177" t="str">
        <f>weight!B177</f>
        <v>3a</v>
      </c>
    </row>
    <row r="178" spans="1:2" x14ac:dyDescent="0.25">
      <c r="A178">
        <f t="shared" si="2"/>
        <v>176</v>
      </c>
      <c r="B178" t="str">
        <f>weight!B178</f>
        <v>3a1</v>
      </c>
    </row>
    <row r="179" spans="1:2" x14ac:dyDescent="0.25">
      <c r="A179">
        <f t="shared" si="2"/>
        <v>177</v>
      </c>
      <c r="B179" t="str">
        <f>weight!B179</f>
        <v>3a2</v>
      </c>
    </row>
    <row r="180" spans="1:2" x14ac:dyDescent="0.25">
      <c r="A180">
        <f t="shared" si="2"/>
        <v>178</v>
      </c>
      <c r="B180" t="str">
        <f>weight!B180</f>
        <v>3a3</v>
      </c>
    </row>
    <row r="181" spans="1:2" x14ac:dyDescent="0.25">
      <c r="A181">
        <f t="shared" si="2"/>
        <v>179</v>
      </c>
      <c r="B181" t="str">
        <f>weight!B181</f>
        <v>3a4</v>
      </c>
    </row>
    <row r="182" spans="1:2" x14ac:dyDescent="0.25">
      <c r="A182">
        <f t="shared" si="2"/>
        <v>180</v>
      </c>
      <c r="B182" t="str">
        <f>weight!B182</f>
        <v>3a5</v>
      </c>
    </row>
    <row r="183" spans="1:2" x14ac:dyDescent="0.25">
      <c r="A183">
        <f t="shared" si="2"/>
        <v>181</v>
      </c>
      <c r="B183" t="str">
        <f>weight!B183</f>
        <v>3a6</v>
      </c>
    </row>
    <row r="184" spans="1:2" x14ac:dyDescent="0.25">
      <c r="A184">
        <f t="shared" si="2"/>
        <v>182</v>
      </c>
      <c r="B184" t="str">
        <f>weight!B184</f>
        <v>3a7</v>
      </c>
    </row>
    <row r="185" spans="1:2" x14ac:dyDescent="0.25">
      <c r="A185">
        <f t="shared" si="2"/>
        <v>183</v>
      </c>
      <c r="B185" t="str">
        <f>weight!B185</f>
        <v>3a8</v>
      </c>
    </row>
    <row r="186" spans="1:2" x14ac:dyDescent="0.25">
      <c r="A186">
        <f t="shared" si="2"/>
        <v>184</v>
      </c>
      <c r="B186" t="str">
        <f>weight!B186</f>
        <v>3b</v>
      </c>
    </row>
    <row r="187" spans="1:2" x14ac:dyDescent="0.25">
      <c r="A187">
        <f t="shared" si="2"/>
        <v>185</v>
      </c>
      <c r="B187" t="str">
        <f>weight!B187</f>
        <v>3b1</v>
      </c>
    </row>
    <row r="188" spans="1:2" x14ac:dyDescent="0.25">
      <c r="A188">
        <f t="shared" si="2"/>
        <v>186</v>
      </c>
      <c r="B188" t="str">
        <f>weight!B188</f>
        <v>3b1a</v>
      </c>
    </row>
    <row r="189" spans="1:2" x14ac:dyDescent="0.25">
      <c r="A189">
        <f t="shared" si="2"/>
        <v>187</v>
      </c>
      <c r="B189" t="str">
        <f>weight!B189</f>
        <v>3b1b</v>
      </c>
    </row>
    <row r="190" spans="1:2" x14ac:dyDescent="0.25">
      <c r="A190">
        <f t="shared" si="2"/>
        <v>188</v>
      </c>
      <c r="B190" t="str">
        <f>weight!B190</f>
        <v>3b1c</v>
      </c>
    </row>
    <row r="191" spans="1:2" x14ac:dyDescent="0.25">
      <c r="A191">
        <f t="shared" si="2"/>
        <v>189</v>
      </c>
      <c r="B191" t="str">
        <f>weight!B191</f>
        <v>3b1d</v>
      </c>
    </row>
    <row r="192" spans="1:2" x14ac:dyDescent="0.25">
      <c r="A192">
        <f t="shared" si="2"/>
        <v>190</v>
      </c>
      <c r="B192" t="str">
        <f>weight!B192</f>
        <v>3b1e</v>
      </c>
    </row>
    <row r="193" spans="1:2" x14ac:dyDescent="0.25">
      <c r="A193">
        <f t="shared" si="2"/>
        <v>191</v>
      </c>
      <c r="B193" t="str">
        <f>weight!B193</f>
        <v>3b2</v>
      </c>
    </row>
    <row r="194" spans="1:2" x14ac:dyDescent="0.25">
      <c r="A194">
        <f t="shared" si="2"/>
        <v>192</v>
      </c>
      <c r="B194" t="str">
        <f>weight!B194</f>
        <v>3b2a</v>
      </c>
    </row>
    <row r="195" spans="1:2" x14ac:dyDescent="0.25">
      <c r="A195">
        <f t="shared" si="2"/>
        <v>193</v>
      </c>
      <c r="B195" t="str">
        <f>weight!B195</f>
        <v>3b2b</v>
      </c>
    </row>
    <row r="196" spans="1:2" x14ac:dyDescent="0.25">
      <c r="A196">
        <f t="shared" si="2"/>
        <v>194</v>
      </c>
      <c r="B196" t="str">
        <f>weight!B196</f>
        <v>3b2b1</v>
      </c>
    </row>
    <row r="197" spans="1:2" x14ac:dyDescent="0.25">
      <c r="A197">
        <f t="shared" si="2"/>
        <v>195</v>
      </c>
      <c r="B197" t="str">
        <f>weight!B197</f>
        <v>3b2b2</v>
      </c>
    </row>
    <row r="198" spans="1:2" x14ac:dyDescent="0.25">
      <c r="A198">
        <f t="shared" si="2"/>
        <v>196</v>
      </c>
      <c r="B198" t="str">
        <f>weight!B198</f>
        <v>3b2b3</v>
      </c>
    </row>
    <row r="199" spans="1:2" x14ac:dyDescent="0.25">
      <c r="A199">
        <f t="shared" si="2"/>
        <v>197</v>
      </c>
      <c r="B199" t="str">
        <f>weight!B199</f>
        <v>3b2b4</v>
      </c>
    </row>
    <row r="200" spans="1:2" x14ac:dyDescent="0.25">
      <c r="A200">
        <f t="shared" si="2"/>
        <v>198</v>
      </c>
      <c r="B200" t="str">
        <f>weight!B200</f>
        <v>3b2b5</v>
      </c>
    </row>
    <row r="201" spans="1:2" x14ac:dyDescent="0.25">
      <c r="A201">
        <f t="shared" si="2"/>
        <v>199</v>
      </c>
      <c r="B201" t="str">
        <f>weight!B201</f>
        <v>3b2b6</v>
      </c>
    </row>
    <row r="202" spans="1:2" x14ac:dyDescent="0.25">
      <c r="A202">
        <f t="shared" si="2"/>
        <v>200</v>
      </c>
      <c r="B202" t="str">
        <f>weight!B202</f>
        <v>3b2c</v>
      </c>
    </row>
    <row r="203" spans="1:2" x14ac:dyDescent="0.25">
      <c r="A203">
        <f t="shared" si="2"/>
        <v>201</v>
      </c>
      <c r="B203" t="str">
        <f>weight!B203</f>
        <v>3b2c1</v>
      </c>
    </row>
    <row r="204" spans="1:2" x14ac:dyDescent="0.25">
      <c r="A204">
        <f t="shared" si="2"/>
        <v>202</v>
      </c>
      <c r="B204" t="str">
        <f>weight!B204</f>
        <v>3b2c2</v>
      </c>
    </row>
    <row r="205" spans="1:2" x14ac:dyDescent="0.25">
      <c r="A205">
        <f t="shared" si="2"/>
        <v>203</v>
      </c>
      <c r="B205" t="str">
        <f>weight!B205</f>
        <v>3b2c3</v>
      </c>
    </row>
    <row r="206" spans="1:2" x14ac:dyDescent="0.25">
      <c r="A206">
        <f t="shared" si="2"/>
        <v>204</v>
      </c>
      <c r="B206" t="str">
        <f>weight!B206</f>
        <v>3b2c4</v>
      </c>
    </row>
    <row r="207" spans="1:2" x14ac:dyDescent="0.25">
      <c r="A207">
        <f t="shared" si="2"/>
        <v>205</v>
      </c>
      <c r="B207" t="str">
        <f>weight!B207</f>
        <v>3b2d</v>
      </c>
    </row>
    <row r="208" spans="1:2" x14ac:dyDescent="0.25">
      <c r="A208">
        <f t="shared" si="2"/>
        <v>206</v>
      </c>
      <c r="B208" t="str">
        <f>weight!B208</f>
        <v>3b2d1</v>
      </c>
    </row>
    <row r="209" spans="1:2" x14ac:dyDescent="0.25">
      <c r="A209">
        <f t="shared" si="2"/>
        <v>207</v>
      </c>
      <c r="B209" t="str">
        <f>weight!B209</f>
        <v>3b2d2</v>
      </c>
    </row>
    <row r="210" spans="1:2" x14ac:dyDescent="0.25">
      <c r="A210">
        <f t="shared" si="2"/>
        <v>208</v>
      </c>
      <c r="B210" t="str">
        <f>weight!B210</f>
        <v>3b2d3</v>
      </c>
    </row>
    <row r="211" spans="1:2" x14ac:dyDescent="0.25">
      <c r="A211">
        <f t="shared" ref="A211:A274" si="3">A210+1</f>
        <v>209</v>
      </c>
      <c r="B211" t="str">
        <f>weight!B211</f>
        <v>3b2d4</v>
      </c>
    </row>
    <row r="212" spans="1:2" x14ac:dyDescent="0.25">
      <c r="A212">
        <f t="shared" si="3"/>
        <v>210</v>
      </c>
      <c r="B212" t="str">
        <f>weight!B212</f>
        <v>3b2d5</v>
      </c>
    </row>
    <row r="213" spans="1:2" x14ac:dyDescent="0.25">
      <c r="A213">
        <f t="shared" si="3"/>
        <v>211</v>
      </c>
      <c r="B213" t="str">
        <f>weight!B213</f>
        <v>3b2d6</v>
      </c>
    </row>
    <row r="214" spans="1:2" x14ac:dyDescent="0.25">
      <c r="A214">
        <f t="shared" si="3"/>
        <v>212</v>
      </c>
      <c r="B214" t="str">
        <f>weight!B214</f>
        <v>3b2e</v>
      </c>
    </row>
    <row r="215" spans="1:2" x14ac:dyDescent="0.25">
      <c r="A215">
        <f t="shared" si="3"/>
        <v>213</v>
      </c>
      <c r="B215" t="str">
        <f>weight!B215</f>
        <v>3b2e1</v>
      </c>
    </row>
    <row r="216" spans="1:2" x14ac:dyDescent="0.25">
      <c r="A216">
        <f t="shared" si="3"/>
        <v>214</v>
      </c>
      <c r="B216" t="str">
        <f>weight!B216</f>
        <v>3b2e2</v>
      </c>
    </row>
    <row r="217" spans="1:2" x14ac:dyDescent="0.25">
      <c r="A217">
        <f t="shared" si="3"/>
        <v>215</v>
      </c>
      <c r="B217" t="str">
        <f>weight!B217</f>
        <v>3b2e3</v>
      </c>
    </row>
    <row r="218" spans="1:2" x14ac:dyDescent="0.25">
      <c r="A218">
        <f t="shared" si="3"/>
        <v>216</v>
      </c>
      <c r="B218" t="str">
        <f>weight!B218</f>
        <v>3b2f</v>
      </c>
    </row>
    <row r="219" spans="1:2" x14ac:dyDescent="0.25">
      <c r="A219">
        <f t="shared" si="3"/>
        <v>217</v>
      </c>
      <c r="B219" t="str">
        <f>weight!B219</f>
        <v>3b2f1</v>
      </c>
    </row>
    <row r="220" spans="1:2" x14ac:dyDescent="0.25">
      <c r="A220">
        <f t="shared" si="3"/>
        <v>218</v>
      </c>
      <c r="B220" t="str">
        <f>weight!B220</f>
        <v>3b2f2</v>
      </c>
    </row>
    <row r="221" spans="1:2" x14ac:dyDescent="0.25">
      <c r="A221">
        <f t="shared" si="3"/>
        <v>219</v>
      </c>
      <c r="B221" t="str">
        <f>weight!B221</f>
        <v>3b2f3</v>
      </c>
    </row>
    <row r="222" spans="1:2" x14ac:dyDescent="0.25">
      <c r="A222">
        <f t="shared" si="3"/>
        <v>220</v>
      </c>
      <c r="B222" t="str">
        <f>weight!B222</f>
        <v>3b2f4</v>
      </c>
    </row>
    <row r="223" spans="1:2" x14ac:dyDescent="0.25">
      <c r="A223">
        <f t="shared" si="3"/>
        <v>221</v>
      </c>
      <c r="B223" t="str">
        <f>weight!B223</f>
        <v>3b2g</v>
      </c>
    </row>
    <row r="224" spans="1:2" x14ac:dyDescent="0.25">
      <c r="A224">
        <f t="shared" si="3"/>
        <v>222</v>
      </c>
      <c r="B224" t="str">
        <f>weight!B224</f>
        <v>3b2g1</v>
      </c>
    </row>
    <row r="225" spans="1:2" x14ac:dyDescent="0.25">
      <c r="A225">
        <f t="shared" si="3"/>
        <v>223</v>
      </c>
      <c r="B225" t="str">
        <f>weight!B225</f>
        <v>3b2g2</v>
      </c>
    </row>
    <row r="226" spans="1:2" x14ac:dyDescent="0.25">
      <c r="A226">
        <f t="shared" si="3"/>
        <v>224</v>
      </c>
      <c r="B226" t="str">
        <f>weight!B226</f>
        <v>3b2g3</v>
      </c>
    </row>
    <row r="227" spans="1:2" x14ac:dyDescent="0.25">
      <c r="A227">
        <f t="shared" si="3"/>
        <v>225</v>
      </c>
      <c r="B227" t="str">
        <f>weight!B227</f>
        <v>3b2g4</v>
      </c>
    </row>
    <row r="228" spans="1:2" x14ac:dyDescent="0.25">
      <c r="A228">
        <f t="shared" si="3"/>
        <v>226</v>
      </c>
      <c r="B228" t="str">
        <f>weight!B228</f>
        <v>3c</v>
      </c>
    </row>
    <row r="229" spans="1:2" x14ac:dyDescent="0.25">
      <c r="A229">
        <f t="shared" si="3"/>
        <v>227</v>
      </c>
      <c r="B229" t="str">
        <f>weight!B229</f>
        <v>3c1</v>
      </c>
    </row>
    <row r="230" spans="1:2" x14ac:dyDescent="0.25">
      <c r="A230">
        <f t="shared" si="3"/>
        <v>228</v>
      </c>
      <c r="B230" t="str">
        <f>weight!B230</f>
        <v>3c2</v>
      </c>
    </row>
    <row r="231" spans="1:2" x14ac:dyDescent="0.25">
      <c r="A231">
        <f t="shared" si="3"/>
        <v>229</v>
      </c>
      <c r="B231" t="str">
        <f>weight!B231</f>
        <v>3c3</v>
      </c>
    </row>
    <row r="232" spans="1:2" x14ac:dyDescent="0.25">
      <c r="A232">
        <f t="shared" si="3"/>
        <v>230</v>
      </c>
      <c r="B232" t="str">
        <f>weight!B232</f>
        <v>3c4</v>
      </c>
    </row>
    <row r="233" spans="1:2" x14ac:dyDescent="0.25">
      <c r="A233">
        <f t="shared" si="3"/>
        <v>231</v>
      </c>
      <c r="B233" t="str">
        <f>weight!B233</f>
        <v>3d</v>
      </c>
    </row>
    <row r="234" spans="1:2" x14ac:dyDescent="0.25">
      <c r="A234">
        <f t="shared" si="3"/>
        <v>232</v>
      </c>
      <c r="B234" t="str">
        <f>weight!B234</f>
        <v>3d1</v>
      </c>
    </row>
    <row r="235" spans="1:2" x14ac:dyDescent="0.25">
      <c r="A235">
        <f t="shared" si="3"/>
        <v>233</v>
      </c>
      <c r="B235" t="str">
        <f>weight!B235</f>
        <v>3d2</v>
      </c>
    </row>
    <row r="236" spans="1:2" x14ac:dyDescent="0.25">
      <c r="A236">
        <f t="shared" si="3"/>
        <v>234</v>
      </c>
      <c r="B236" t="str">
        <f>weight!B236</f>
        <v>3d3</v>
      </c>
    </row>
    <row r="237" spans="1:2" x14ac:dyDescent="0.25">
      <c r="A237">
        <f t="shared" si="3"/>
        <v>235</v>
      </c>
      <c r="B237" t="str">
        <f>weight!B237</f>
        <v>3d4</v>
      </c>
    </row>
    <row r="238" spans="1:2" x14ac:dyDescent="0.25">
      <c r="A238">
        <f t="shared" si="3"/>
        <v>236</v>
      </c>
      <c r="B238" t="str">
        <f>weight!B238</f>
        <v>3e</v>
      </c>
    </row>
    <row r="239" spans="1:2" x14ac:dyDescent="0.25">
      <c r="A239">
        <f t="shared" si="3"/>
        <v>237</v>
      </c>
      <c r="B239" t="str">
        <f>weight!B239</f>
        <v>3e1</v>
      </c>
    </row>
    <row r="240" spans="1:2" x14ac:dyDescent="0.25">
      <c r="A240">
        <f t="shared" si="3"/>
        <v>238</v>
      </c>
      <c r="B240" t="str">
        <f>weight!B240</f>
        <v>3e2</v>
      </c>
    </row>
    <row r="241" spans="1:2" x14ac:dyDescent="0.25">
      <c r="A241">
        <f t="shared" si="3"/>
        <v>239</v>
      </c>
      <c r="B241" t="str">
        <f>weight!B241</f>
        <v>3e3</v>
      </c>
    </row>
    <row r="242" spans="1:2" x14ac:dyDescent="0.25">
      <c r="A242">
        <f t="shared" si="3"/>
        <v>240</v>
      </c>
      <c r="B242" t="str">
        <f>weight!B242</f>
        <v>3e4</v>
      </c>
    </row>
    <row r="243" spans="1:2" x14ac:dyDescent="0.25">
      <c r="A243">
        <f t="shared" si="3"/>
        <v>241</v>
      </c>
      <c r="B243" t="str">
        <f>weight!B243</f>
        <v>3e5</v>
      </c>
    </row>
    <row r="244" spans="1:2" x14ac:dyDescent="0.25">
      <c r="A244">
        <f t="shared" si="3"/>
        <v>242</v>
      </c>
      <c r="B244" t="str">
        <f>weight!B244</f>
        <v>3f</v>
      </c>
    </row>
    <row r="245" spans="1:2" x14ac:dyDescent="0.25">
      <c r="A245">
        <f t="shared" si="3"/>
        <v>243</v>
      </c>
      <c r="B245" t="str">
        <f>weight!B245</f>
        <v>3f1</v>
      </c>
    </row>
    <row r="246" spans="1:2" x14ac:dyDescent="0.25">
      <c r="A246">
        <f t="shared" si="3"/>
        <v>244</v>
      </c>
      <c r="B246" t="str">
        <f>weight!B246</f>
        <v>3f2</v>
      </c>
    </row>
    <row r="247" spans="1:2" x14ac:dyDescent="0.25">
      <c r="A247">
        <f t="shared" si="3"/>
        <v>245</v>
      </c>
      <c r="B247" t="str">
        <f>weight!B247</f>
        <v>3f3</v>
      </c>
    </row>
    <row r="248" spans="1:2" x14ac:dyDescent="0.25">
      <c r="A248">
        <f t="shared" si="3"/>
        <v>246</v>
      </c>
      <c r="B248" t="str">
        <f>weight!B248</f>
        <v>3f4</v>
      </c>
    </row>
    <row r="249" spans="1:2" x14ac:dyDescent="0.25">
      <c r="A249">
        <f t="shared" si="3"/>
        <v>247</v>
      </c>
      <c r="B249" t="str">
        <f>weight!B249</f>
        <v>4</v>
      </c>
    </row>
    <row r="250" spans="1:2" x14ac:dyDescent="0.25">
      <c r="A250">
        <f t="shared" si="3"/>
        <v>248</v>
      </c>
      <c r="B250" t="str">
        <f>weight!B250</f>
        <v>4a</v>
      </c>
    </row>
    <row r="251" spans="1:2" x14ac:dyDescent="0.25">
      <c r="A251">
        <f t="shared" si="3"/>
        <v>249</v>
      </c>
      <c r="B251" t="str">
        <f>weight!B251</f>
        <v>4a1</v>
      </c>
    </row>
    <row r="252" spans="1:2" x14ac:dyDescent="0.25">
      <c r="A252">
        <f t="shared" si="3"/>
        <v>250</v>
      </c>
      <c r="B252" t="str">
        <f>weight!B252</f>
        <v>4a2</v>
      </c>
    </row>
    <row r="253" spans="1:2" x14ac:dyDescent="0.25">
      <c r="A253">
        <f t="shared" si="3"/>
        <v>251</v>
      </c>
      <c r="B253" t="str">
        <f>weight!B253</f>
        <v>4a2a</v>
      </c>
    </row>
    <row r="254" spans="1:2" x14ac:dyDescent="0.25">
      <c r="A254">
        <f t="shared" si="3"/>
        <v>252</v>
      </c>
      <c r="B254" t="str">
        <f>weight!B254</f>
        <v>4a2b</v>
      </c>
    </row>
    <row r="255" spans="1:2" x14ac:dyDescent="0.25">
      <c r="A255">
        <f t="shared" si="3"/>
        <v>253</v>
      </c>
      <c r="B255" t="str">
        <f>weight!B255</f>
        <v>4a3</v>
      </c>
    </row>
    <row r="256" spans="1:2" x14ac:dyDescent="0.25">
      <c r="A256">
        <f t="shared" si="3"/>
        <v>254</v>
      </c>
      <c r="B256" t="str">
        <f>weight!B256</f>
        <v>4a4</v>
      </c>
    </row>
    <row r="257" spans="1:2" x14ac:dyDescent="0.25">
      <c r="A257">
        <f t="shared" si="3"/>
        <v>255</v>
      </c>
      <c r="B257" t="str">
        <f>weight!B257</f>
        <v>4a5</v>
      </c>
    </row>
    <row r="258" spans="1:2" x14ac:dyDescent="0.25">
      <c r="A258">
        <f t="shared" si="3"/>
        <v>256</v>
      </c>
      <c r="B258" t="str">
        <f>weight!B258</f>
        <v>4b</v>
      </c>
    </row>
    <row r="259" spans="1:2" x14ac:dyDescent="0.25">
      <c r="A259">
        <f t="shared" si="3"/>
        <v>257</v>
      </c>
      <c r="B259" t="str">
        <f>weight!B259</f>
        <v>4b1</v>
      </c>
    </row>
    <row r="260" spans="1:2" x14ac:dyDescent="0.25">
      <c r="A260">
        <f t="shared" si="3"/>
        <v>258</v>
      </c>
      <c r="B260" t="str">
        <f>weight!B260</f>
        <v>4b2</v>
      </c>
    </row>
    <row r="261" spans="1:2" x14ac:dyDescent="0.25">
      <c r="A261">
        <f t="shared" si="3"/>
        <v>259</v>
      </c>
      <c r="B261" t="str">
        <f>weight!B261</f>
        <v>4c</v>
      </c>
    </row>
    <row r="262" spans="1:2" x14ac:dyDescent="0.25">
      <c r="A262">
        <f t="shared" si="3"/>
        <v>260</v>
      </c>
      <c r="B262" t="str">
        <f>weight!B262</f>
        <v>4c1</v>
      </c>
    </row>
    <row r="263" spans="1:2" x14ac:dyDescent="0.25">
      <c r="A263">
        <f t="shared" si="3"/>
        <v>261</v>
      </c>
      <c r="B263" t="str">
        <f>weight!B263</f>
        <v>4c2</v>
      </c>
    </row>
    <row r="264" spans="1:2" x14ac:dyDescent="0.25">
      <c r="A264">
        <f t="shared" si="3"/>
        <v>262</v>
      </c>
      <c r="B264" t="str">
        <f>weight!B264</f>
        <v>4c3</v>
      </c>
    </row>
    <row r="265" spans="1:2" x14ac:dyDescent="0.25">
      <c r="A265">
        <f t="shared" si="3"/>
        <v>263</v>
      </c>
      <c r="B265" t="str">
        <f>weight!B265</f>
        <v>4c4</v>
      </c>
    </row>
    <row r="266" spans="1:2" x14ac:dyDescent="0.25">
      <c r="A266">
        <f t="shared" si="3"/>
        <v>264</v>
      </c>
      <c r="B266" t="str">
        <f>weight!B266</f>
        <v>4c5</v>
      </c>
    </row>
    <row r="267" spans="1:2" x14ac:dyDescent="0.25">
      <c r="A267">
        <f t="shared" si="3"/>
        <v>265</v>
      </c>
      <c r="B267" t="str">
        <f>weight!B267</f>
        <v>4d</v>
      </c>
    </row>
    <row r="268" spans="1:2" x14ac:dyDescent="0.25">
      <c r="A268">
        <f t="shared" si="3"/>
        <v>266</v>
      </c>
      <c r="B268" t="str">
        <f>weight!B268</f>
        <v>5</v>
      </c>
    </row>
    <row r="269" spans="1:2" x14ac:dyDescent="0.25">
      <c r="A269">
        <f t="shared" si="3"/>
        <v>267</v>
      </c>
      <c r="B269" t="str">
        <f>weight!B269</f>
        <v>5a</v>
      </c>
    </row>
    <row r="270" spans="1:2" x14ac:dyDescent="0.25">
      <c r="A270">
        <f t="shared" si="3"/>
        <v>268</v>
      </c>
      <c r="B270" t="str">
        <f>weight!B270</f>
        <v>5a1</v>
      </c>
    </row>
    <row r="271" spans="1:2" x14ac:dyDescent="0.25">
      <c r="A271">
        <f t="shared" si="3"/>
        <v>269</v>
      </c>
      <c r="B271" t="str">
        <f>weight!B271</f>
        <v>5a2</v>
      </c>
    </row>
    <row r="272" spans="1:2" x14ac:dyDescent="0.25">
      <c r="A272">
        <f t="shared" si="3"/>
        <v>270</v>
      </c>
      <c r="B272" t="str">
        <f>weight!B272</f>
        <v>5b</v>
      </c>
    </row>
    <row r="273" spans="1:2" x14ac:dyDescent="0.25">
      <c r="A273">
        <f t="shared" si="3"/>
        <v>271</v>
      </c>
      <c r="B273" t="str">
        <f>weight!B273</f>
        <v>5b1</v>
      </c>
    </row>
    <row r="274" spans="1:2" x14ac:dyDescent="0.25">
      <c r="A274">
        <f t="shared" si="3"/>
        <v>272</v>
      </c>
      <c r="B274" t="str">
        <f>weight!B274</f>
        <v>5b2</v>
      </c>
    </row>
    <row r="275" spans="1:2" x14ac:dyDescent="0.25">
      <c r="A275">
        <f t="shared" ref="A275:A306" si="4">A274+1</f>
        <v>273</v>
      </c>
      <c r="B275" t="str">
        <f>weight!B275</f>
        <v>5c</v>
      </c>
    </row>
    <row r="276" spans="1:2" x14ac:dyDescent="0.25">
      <c r="A276">
        <f t="shared" si="4"/>
        <v>274</v>
      </c>
      <c r="B276" t="str">
        <f>weight!B276</f>
        <v>5c1</v>
      </c>
    </row>
    <row r="277" spans="1:2" x14ac:dyDescent="0.25">
      <c r="A277">
        <f t="shared" si="4"/>
        <v>275</v>
      </c>
      <c r="B277" t="str">
        <f>weight!B277</f>
        <v>5c2</v>
      </c>
    </row>
    <row r="278" spans="1:2" x14ac:dyDescent="0.25">
      <c r="A278">
        <f t="shared" si="4"/>
        <v>276</v>
      </c>
      <c r="B278" t="str">
        <f>weight!B278</f>
        <v>5d</v>
      </c>
    </row>
    <row r="279" spans="1:2" x14ac:dyDescent="0.25">
      <c r="A279">
        <f t="shared" si="4"/>
        <v>277</v>
      </c>
      <c r="B279" t="str">
        <f>weight!B279</f>
        <v>6</v>
      </c>
    </row>
    <row r="280" spans="1:2" x14ac:dyDescent="0.25">
      <c r="A280">
        <f t="shared" si="4"/>
        <v>278</v>
      </c>
      <c r="B280" t="str">
        <f>weight!B280</f>
        <v>6a</v>
      </c>
    </row>
    <row r="281" spans="1:2" x14ac:dyDescent="0.25">
      <c r="A281">
        <f t="shared" si="4"/>
        <v>279</v>
      </c>
      <c r="B281" t="str">
        <f>weight!B281</f>
        <v>6b</v>
      </c>
    </row>
    <row r="282" spans="1:2" x14ac:dyDescent="0.25">
      <c r="A282">
        <f t="shared" si="4"/>
        <v>280</v>
      </c>
      <c r="B282" t="str">
        <f>weight!B282</f>
        <v>6c</v>
      </c>
    </row>
    <row r="283" spans="1:2" x14ac:dyDescent="0.25">
      <c r="A283">
        <f t="shared" si="4"/>
        <v>281</v>
      </c>
      <c r="B283" t="str">
        <f>weight!B283</f>
        <v>6d</v>
      </c>
    </row>
    <row r="284" spans="1:2" x14ac:dyDescent="0.25">
      <c r="A284">
        <f t="shared" si="4"/>
        <v>282</v>
      </c>
      <c r="B284" t="str">
        <f>weight!B284</f>
        <v>6e</v>
      </c>
    </row>
    <row r="285" spans="1:2" x14ac:dyDescent="0.25">
      <c r="A285">
        <f t="shared" si="4"/>
        <v>283</v>
      </c>
      <c r="B285" t="str">
        <f>weight!B285</f>
        <v>7</v>
      </c>
    </row>
    <row r="286" spans="1:2" x14ac:dyDescent="0.25">
      <c r="A286">
        <f t="shared" si="4"/>
        <v>284</v>
      </c>
      <c r="B286" t="str">
        <f>weight!B286</f>
        <v>7a</v>
      </c>
    </row>
    <row r="287" spans="1:2" x14ac:dyDescent="0.25">
      <c r="A287">
        <f t="shared" si="4"/>
        <v>285</v>
      </c>
      <c r="B287" t="str">
        <f>weight!B287</f>
        <v>7a1</v>
      </c>
    </row>
    <row r="288" spans="1:2" x14ac:dyDescent="0.25">
      <c r="A288">
        <f t="shared" si="4"/>
        <v>286</v>
      </c>
      <c r="B288" t="str">
        <f>weight!B288</f>
        <v>7a2</v>
      </c>
    </row>
    <row r="289" spans="1:2" x14ac:dyDescent="0.25">
      <c r="A289">
        <f t="shared" si="4"/>
        <v>287</v>
      </c>
      <c r="B289" t="str">
        <f>weight!B289</f>
        <v>7a2a</v>
      </c>
    </row>
    <row r="290" spans="1:2" x14ac:dyDescent="0.25">
      <c r="A290">
        <f t="shared" si="4"/>
        <v>288</v>
      </c>
      <c r="B290" t="str">
        <f>weight!B290</f>
        <v>7a2b</v>
      </c>
    </row>
    <row r="291" spans="1:2" x14ac:dyDescent="0.25">
      <c r="A291">
        <f t="shared" si="4"/>
        <v>289</v>
      </c>
      <c r="B291" t="str">
        <f>weight!B291</f>
        <v>7a2c</v>
      </c>
    </row>
    <row r="292" spans="1:2" x14ac:dyDescent="0.25">
      <c r="A292">
        <f t="shared" si="4"/>
        <v>290</v>
      </c>
      <c r="B292" t="str">
        <f>weight!B292</f>
        <v>7a3</v>
      </c>
    </row>
    <row r="293" spans="1:2" x14ac:dyDescent="0.25">
      <c r="A293">
        <f t="shared" si="4"/>
        <v>291</v>
      </c>
      <c r="B293" t="str">
        <f>weight!B293</f>
        <v>7a4</v>
      </c>
    </row>
    <row r="294" spans="1:2" x14ac:dyDescent="0.25">
      <c r="A294">
        <f t="shared" si="4"/>
        <v>292</v>
      </c>
      <c r="B294" t="str">
        <f>weight!B294</f>
        <v>7a5</v>
      </c>
    </row>
    <row r="295" spans="1:2" x14ac:dyDescent="0.25">
      <c r="A295">
        <f t="shared" si="4"/>
        <v>293</v>
      </c>
      <c r="B295" t="str">
        <f>weight!B295</f>
        <v>7a6</v>
      </c>
    </row>
    <row r="296" spans="1:2" x14ac:dyDescent="0.25">
      <c r="A296">
        <f t="shared" si="4"/>
        <v>294</v>
      </c>
      <c r="B296" t="str">
        <f>weight!B296</f>
        <v>7b</v>
      </c>
    </row>
    <row r="297" spans="1:2" x14ac:dyDescent="0.25">
      <c r="A297">
        <f t="shared" si="4"/>
        <v>295</v>
      </c>
      <c r="B297" t="str">
        <f>weight!B297</f>
        <v>7c</v>
      </c>
    </row>
    <row r="298" spans="1:2" x14ac:dyDescent="0.25">
      <c r="A298">
        <f t="shared" si="4"/>
        <v>296</v>
      </c>
      <c r="B298" t="str">
        <f>weight!B298</f>
        <v>8</v>
      </c>
    </row>
    <row r="299" spans="1:2" x14ac:dyDescent="0.25">
      <c r="A299">
        <f t="shared" si="4"/>
        <v>297</v>
      </c>
      <c r="B299" t="str">
        <f>weight!B299</f>
        <v>8a</v>
      </c>
    </row>
    <row r="300" spans="1:2" x14ac:dyDescent="0.25">
      <c r="A300">
        <f t="shared" si="4"/>
        <v>298</v>
      </c>
      <c r="B300" t="str">
        <f>weight!B300</f>
        <v>8a1</v>
      </c>
    </row>
    <row r="301" spans="1:2" x14ac:dyDescent="0.25">
      <c r="A301">
        <f t="shared" si="4"/>
        <v>299</v>
      </c>
      <c r="B301" t="str">
        <f>weight!B301</f>
        <v>8a2</v>
      </c>
    </row>
    <row r="302" spans="1:2" x14ac:dyDescent="0.25">
      <c r="A302">
        <f t="shared" si="4"/>
        <v>300</v>
      </c>
      <c r="B302" t="str">
        <f>weight!B302</f>
        <v>8a3</v>
      </c>
    </row>
    <row r="303" spans="1:2" x14ac:dyDescent="0.25">
      <c r="A303">
        <f t="shared" si="4"/>
        <v>301</v>
      </c>
      <c r="B303" t="str">
        <f>weight!B303</f>
        <v>8b</v>
      </c>
    </row>
    <row r="304" spans="1:2" x14ac:dyDescent="0.25">
      <c r="A304">
        <f t="shared" si="4"/>
        <v>302</v>
      </c>
      <c r="B304" t="str">
        <f>weight!B304</f>
        <v>9</v>
      </c>
    </row>
    <row r="305" spans="1:2" x14ac:dyDescent="0.25">
      <c r="A305">
        <f t="shared" si="4"/>
        <v>303</v>
      </c>
      <c r="B305" t="str">
        <f>weight!B305</f>
        <v>9a</v>
      </c>
    </row>
    <row r="306" spans="1:2" x14ac:dyDescent="0.25">
      <c r="A306">
        <f t="shared" si="4"/>
        <v>304</v>
      </c>
      <c r="B306" t="str">
        <f>weight!B306</f>
        <v>9b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rgb="FFFF0000"/>
  </sheetPr>
  <dimension ref="A1:G305"/>
  <sheetViews>
    <sheetView workbookViewId="0">
      <selection activeCell="J7" sqref="J7"/>
    </sheetView>
  </sheetViews>
  <sheetFormatPr defaultRowHeight="15" x14ac:dyDescent="0.25"/>
  <sheetData>
    <row r="1" spans="1:7" x14ac:dyDescent="0.25">
      <c r="A1" t="s">
        <v>628</v>
      </c>
      <c r="B1" t="s">
        <v>3</v>
      </c>
      <c r="C1" t="s">
        <v>629</v>
      </c>
      <c r="D1" t="s">
        <v>0</v>
      </c>
      <c r="E1" t="s">
        <v>1</v>
      </c>
      <c r="F1" t="s">
        <v>2</v>
      </c>
      <c r="G1" t="s">
        <v>4</v>
      </c>
    </row>
    <row r="2" spans="1:7" x14ac:dyDescent="0.25">
      <c r="A2">
        <f>weight_E!A3</f>
        <v>1</v>
      </c>
      <c r="B2">
        <f>weight!E3</f>
        <v>0</v>
      </c>
      <c r="C2" t="s">
        <v>630</v>
      </c>
      <c r="D2">
        <v>1</v>
      </c>
      <c r="G2" t="str">
        <f>REPLACE(weight!P3,2,1,".")</f>
        <v>8.27272727272727</v>
      </c>
    </row>
    <row r="3" spans="1:7" x14ac:dyDescent="0.25">
      <c r="A3">
        <f>weight!A4</f>
        <v>2</v>
      </c>
      <c r="B3">
        <f>weight!E4</f>
        <v>1</v>
      </c>
      <c r="C3" t="str">
        <f>C2</f>
        <v>Directed</v>
      </c>
      <c r="D3">
        <f>D2+1</f>
        <v>2</v>
      </c>
      <c r="G3" t="str">
        <f>REPLACE(weight!P4,2,1,".")</f>
        <v>9.</v>
      </c>
    </row>
    <row r="4" spans="1:7" x14ac:dyDescent="0.25">
      <c r="A4">
        <f>weight!A5</f>
        <v>3</v>
      </c>
      <c r="B4">
        <f>weight!E5</f>
        <v>2</v>
      </c>
      <c r="C4" t="str">
        <f t="shared" ref="C4:C67" si="0">C3</f>
        <v>Directed</v>
      </c>
      <c r="D4">
        <f t="shared" ref="D4:D67" si="1">D3+1</f>
        <v>3</v>
      </c>
      <c r="G4" t="str">
        <f>REPLACE(weight!P5,2,1,".")</f>
        <v>8.63636363636364</v>
      </c>
    </row>
    <row r="5" spans="1:7" x14ac:dyDescent="0.25">
      <c r="A5">
        <f>weight!A6</f>
        <v>4</v>
      </c>
      <c r="B5">
        <f>weight!E6</f>
        <v>3</v>
      </c>
      <c r="C5" t="str">
        <f t="shared" si="0"/>
        <v>Directed</v>
      </c>
      <c r="D5">
        <f t="shared" si="1"/>
        <v>4</v>
      </c>
      <c r="G5" t="str">
        <f>REPLACE(weight!P6,2,1,".")</f>
        <v>9.63636363636364</v>
      </c>
    </row>
    <row r="6" spans="1:7" x14ac:dyDescent="0.25">
      <c r="A6">
        <f>weight!A7</f>
        <v>5</v>
      </c>
      <c r="B6">
        <f>weight!E7</f>
        <v>3</v>
      </c>
      <c r="C6" t="str">
        <f t="shared" si="0"/>
        <v>Directed</v>
      </c>
      <c r="D6">
        <f t="shared" si="1"/>
        <v>5</v>
      </c>
      <c r="G6" t="str">
        <f>REPLACE(weight!P7,2,1,".")</f>
        <v>8.27272727272727</v>
      </c>
    </row>
    <row r="7" spans="1:7" x14ac:dyDescent="0.25">
      <c r="A7">
        <f>weight!A8</f>
        <v>6</v>
      </c>
      <c r="B7">
        <f>weight!E8</f>
        <v>3</v>
      </c>
      <c r="C7" t="str">
        <f t="shared" si="0"/>
        <v>Directed</v>
      </c>
      <c r="D7">
        <f t="shared" si="1"/>
        <v>6</v>
      </c>
      <c r="G7" t="str">
        <f>REPLACE(weight!P8,2,1,".")</f>
        <v>8.90909090909091</v>
      </c>
    </row>
    <row r="8" spans="1:7" x14ac:dyDescent="0.25">
      <c r="A8">
        <f>weight!A9</f>
        <v>7</v>
      </c>
      <c r="B8">
        <f>weight!E9</f>
        <v>3</v>
      </c>
      <c r="C8" t="str">
        <f t="shared" si="0"/>
        <v>Directed</v>
      </c>
      <c r="D8">
        <f t="shared" si="1"/>
        <v>7</v>
      </c>
      <c r="G8" t="str">
        <f>REPLACE(weight!P9,2,1,".")</f>
        <v>9.09090909090909</v>
      </c>
    </row>
    <row r="9" spans="1:7" x14ac:dyDescent="0.25">
      <c r="A9">
        <f>weight!A10</f>
        <v>8</v>
      </c>
      <c r="B9">
        <f>weight!E10</f>
        <v>3</v>
      </c>
      <c r="C9" t="str">
        <f t="shared" si="0"/>
        <v>Directed</v>
      </c>
      <c r="D9">
        <f t="shared" si="1"/>
        <v>8</v>
      </c>
      <c r="G9" t="str">
        <f>REPLACE(weight!P10,2,1,".")</f>
        <v>7.</v>
      </c>
    </row>
    <row r="10" spans="1:7" x14ac:dyDescent="0.25">
      <c r="A10">
        <f>weight!A11</f>
        <v>9</v>
      </c>
      <c r="B10">
        <f>weight!E11</f>
        <v>2</v>
      </c>
      <c r="C10" t="str">
        <f t="shared" si="0"/>
        <v>Directed</v>
      </c>
      <c r="D10">
        <f t="shared" si="1"/>
        <v>9</v>
      </c>
      <c r="G10" t="str">
        <f>REPLACE(weight!P11,2,1,".")</f>
        <v>8.45454545454546</v>
      </c>
    </row>
    <row r="11" spans="1:7" x14ac:dyDescent="0.25">
      <c r="A11">
        <f>weight!A12</f>
        <v>10</v>
      </c>
      <c r="B11">
        <f>weight!E12</f>
        <v>9</v>
      </c>
      <c r="C11" t="str">
        <f t="shared" si="0"/>
        <v>Directed</v>
      </c>
      <c r="D11">
        <f t="shared" si="1"/>
        <v>10</v>
      </c>
      <c r="G11" t="str">
        <f>REPLACE(weight!P12,2,1,".")</f>
        <v>8.27272727272727</v>
      </c>
    </row>
    <row r="12" spans="1:7" x14ac:dyDescent="0.25">
      <c r="A12">
        <f>weight!A13</f>
        <v>11</v>
      </c>
      <c r="B12">
        <f>weight!E13</f>
        <v>9</v>
      </c>
      <c r="C12" t="str">
        <f t="shared" si="0"/>
        <v>Directed</v>
      </c>
      <c r="D12">
        <f t="shared" si="1"/>
        <v>11</v>
      </c>
      <c r="G12" t="str">
        <f>REPLACE(weight!P13,2,1,".")</f>
        <v>6.54545454545455</v>
      </c>
    </row>
    <row r="13" spans="1:7" x14ac:dyDescent="0.25">
      <c r="A13">
        <f>weight!A14</f>
        <v>12</v>
      </c>
      <c r="B13">
        <f>weight!E14</f>
        <v>9</v>
      </c>
      <c r="C13" t="str">
        <f t="shared" si="0"/>
        <v>Directed</v>
      </c>
      <c r="D13">
        <f t="shared" si="1"/>
        <v>12</v>
      </c>
      <c r="G13" t="str">
        <f>REPLACE(weight!P14,2,1,".")</f>
        <v>9.45454545454546</v>
      </c>
    </row>
    <row r="14" spans="1:7" x14ac:dyDescent="0.25">
      <c r="A14">
        <f>weight!A15</f>
        <v>13</v>
      </c>
      <c r="B14">
        <f>weight!E15</f>
        <v>9</v>
      </c>
      <c r="C14" t="str">
        <f t="shared" si="0"/>
        <v>Directed</v>
      </c>
      <c r="D14">
        <f t="shared" si="1"/>
        <v>13</v>
      </c>
      <c r="G14" t="str">
        <f>REPLACE(weight!P15,2,1,".")</f>
        <v>7.81818181818182</v>
      </c>
    </row>
    <row r="15" spans="1:7" x14ac:dyDescent="0.25">
      <c r="A15">
        <f>weight!A16</f>
        <v>14</v>
      </c>
      <c r="B15">
        <f>weight!E16</f>
        <v>9</v>
      </c>
      <c r="C15" t="str">
        <f t="shared" si="0"/>
        <v>Directed</v>
      </c>
      <c r="D15">
        <f t="shared" si="1"/>
        <v>14</v>
      </c>
      <c r="G15" t="str">
        <f>REPLACE(weight!P16,2,1,".")</f>
        <v>6.54545454545455</v>
      </c>
    </row>
    <row r="16" spans="1:7" x14ac:dyDescent="0.25">
      <c r="A16">
        <f>weight!A17</f>
        <v>15</v>
      </c>
      <c r="B16">
        <f>weight!E17</f>
        <v>9</v>
      </c>
      <c r="C16" t="str">
        <f t="shared" si="0"/>
        <v>Directed</v>
      </c>
      <c r="D16">
        <f t="shared" si="1"/>
        <v>15</v>
      </c>
      <c r="G16" t="str">
        <f>REPLACE(weight!P17,2,1,".")</f>
        <v>7.27272727272727</v>
      </c>
    </row>
    <row r="17" spans="1:7" x14ac:dyDescent="0.25">
      <c r="A17">
        <f>weight!A18</f>
        <v>16</v>
      </c>
      <c r="B17">
        <f>weight!E18</f>
        <v>9</v>
      </c>
      <c r="C17" t="str">
        <f t="shared" si="0"/>
        <v>Directed</v>
      </c>
      <c r="D17">
        <f t="shared" si="1"/>
        <v>16</v>
      </c>
      <c r="G17" t="str">
        <f>REPLACE(weight!P18,2,1,".")</f>
        <v>5.63636363636364</v>
      </c>
    </row>
    <row r="18" spans="1:7" x14ac:dyDescent="0.25">
      <c r="A18">
        <f>weight!A19</f>
        <v>17</v>
      </c>
      <c r="B18">
        <f>weight!E19</f>
        <v>9</v>
      </c>
      <c r="C18" t="str">
        <f t="shared" si="0"/>
        <v>Directed</v>
      </c>
      <c r="D18">
        <f t="shared" si="1"/>
        <v>17</v>
      </c>
      <c r="G18" t="str">
        <f>REPLACE(weight!P19,2,1,".")</f>
        <v>5.45454545454545</v>
      </c>
    </row>
    <row r="19" spans="1:7" x14ac:dyDescent="0.25">
      <c r="A19">
        <f>weight!A20</f>
        <v>18</v>
      </c>
      <c r="B19">
        <f>weight!E20</f>
        <v>2</v>
      </c>
      <c r="C19" t="str">
        <f t="shared" si="0"/>
        <v>Directed</v>
      </c>
      <c r="D19">
        <f t="shared" si="1"/>
        <v>18</v>
      </c>
      <c r="G19" t="str">
        <f>REPLACE(weight!P20,2,1,".")</f>
        <v>9.54545454545454</v>
      </c>
    </row>
    <row r="20" spans="1:7" x14ac:dyDescent="0.25">
      <c r="A20">
        <f>weight!A21</f>
        <v>19</v>
      </c>
      <c r="B20">
        <f>weight!E21</f>
        <v>18</v>
      </c>
      <c r="C20" t="str">
        <f t="shared" si="0"/>
        <v>Directed</v>
      </c>
      <c r="D20">
        <f t="shared" si="1"/>
        <v>19</v>
      </c>
      <c r="G20" t="str">
        <f>REPLACE(weight!P21,2,1,".")</f>
        <v>8.90909090909091</v>
      </c>
    </row>
    <row r="21" spans="1:7" x14ac:dyDescent="0.25">
      <c r="A21">
        <f>weight!A22</f>
        <v>20</v>
      </c>
      <c r="B21">
        <f>weight!E22</f>
        <v>19</v>
      </c>
      <c r="C21" t="str">
        <f t="shared" si="0"/>
        <v>Directed</v>
      </c>
      <c r="D21">
        <f t="shared" si="1"/>
        <v>20</v>
      </c>
      <c r="G21" t="str">
        <f>REPLACE(weight!P22,2,1,".")</f>
        <v>8.27272727272727</v>
      </c>
    </row>
    <row r="22" spans="1:7" x14ac:dyDescent="0.25">
      <c r="A22">
        <f>weight!A23</f>
        <v>21</v>
      </c>
      <c r="B22">
        <f>weight!E23</f>
        <v>19</v>
      </c>
      <c r="C22" t="str">
        <f t="shared" si="0"/>
        <v>Directed</v>
      </c>
      <c r="D22">
        <f t="shared" si="1"/>
        <v>21</v>
      </c>
      <c r="G22" t="str">
        <f>REPLACE(weight!P23,2,1,".")</f>
        <v>8.72727272727273</v>
      </c>
    </row>
    <row r="23" spans="1:7" x14ac:dyDescent="0.25">
      <c r="A23">
        <f>weight!A24</f>
        <v>22</v>
      </c>
      <c r="B23">
        <f>weight!E24</f>
        <v>19</v>
      </c>
      <c r="C23" t="str">
        <f t="shared" si="0"/>
        <v>Directed</v>
      </c>
      <c r="D23">
        <f t="shared" si="1"/>
        <v>22</v>
      </c>
      <c r="G23" t="str">
        <f>REPLACE(weight!P24,2,1,".")</f>
        <v>5.72727272727273</v>
      </c>
    </row>
    <row r="24" spans="1:7" x14ac:dyDescent="0.25">
      <c r="A24">
        <f>weight!A25</f>
        <v>23</v>
      </c>
      <c r="B24">
        <f>weight!E25</f>
        <v>19</v>
      </c>
      <c r="C24" t="str">
        <f t="shared" si="0"/>
        <v>Directed</v>
      </c>
      <c r="D24">
        <f t="shared" si="1"/>
        <v>23</v>
      </c>
      <c r="G24" t="str">
        <f>REPLACE(weight!P25,2,1,".")</f>
        <v>7.63636363636364</v>
      </c>
    </row>
    <row r="25" spans="1:7" x14ac:dyDescent="0.25">
      <c r="A25">
        <f>weight!A26</f>
        <v>24</v>
      </c>
      <c r="B25">
        <f>weight!E26</f>
        <v>19</v>
      </c>
      <c r="C25" t="str">
        <f t="shared" si="0"/>
        <v>Directed</v>
      </c>
      <c r="D25">
        <f t="shared" si="1"/>
        <v>24</v>
      </c>
      <c r="G25" t="str">
        <f>REPLACE(weight!P26,2,1,".")</f>
        <v>8.</v>
      </c>
    </row>
    <row r="26" spans="1:7" x14ac:dyDescent="0.25">
      <c r="A26">
        <f>weight!A27</f>
        <v>25</v>
      </c>
      <c r="B26">
        <f>weight!E27</f>
        <v>19</v>
      </c>
      <c r="C26" t="str">
        <f t="shared" si="0"/>
        <v>Directed</v>
      </c>
      <c r="D26">
        <f t="shared" si="1"/>
        <v>25</v>
      </c>
      <c r="G26" t="str">
        <f>REPLACE(weight!P27,2,1,".")</f>
        <v>8.45454545454546</v>
      </c>
    </row>
    <row r="27" spans="1:7" x14ac:dyDescent="0.25">
      <c r="A27">
        <f>weight!A28</f>
        <v>26</v>
      </c>
      <c r="B27">
        <f>weight!E28</f>
        <v>19</v>
      </c>
      <c r="C27" t="str">
        <f t="shared" si="0"/>
        <v>Directed</v>
      </c>
      <c r="D27">
        <f t="shared" si="1"/>
        <v>26</v>
      </c>
      <c r="G27" t="str">
        <f>REPLACE(weight!P28,2,1,".")</f>
        <v>7.18181818181818</v>
      </c>
    </row>
    <row r="28" spans="1:7" x14ac:dyDescent="0.25">
      <c r="A28">
        <f>weight!A29</f>
        <v>27</v>
      </c>
      <c r="B28">
        <f>weight!E29</f>
        <v>19</v>
      </c>
      <c r="C28" t="str">
        <f t="shared" si="0"/>
        <v>Directed</v>
      </c>
      <c r="D28">
        <f t="shared" si="1"/>
        <v>27</v>
      </c>
      <c r="G28" t="str">
        <f>REPLACE(weight!P29,2,1,".")</f>
        <v>9.81818181818182</v>
      </c>
    </row>
    <row r="29" spans="1:7" x14ac:dyDescent="0.25">
      <c r="A29">
        <f>weight!A30</f>
        <v>28</v>
      </c>
      <c r="B29">
        <f>weight!E30</f>
        <v>19</v>
      </c>
      <c r="C29" t="str">
        <f t="shared" si="0"/>
        <v>Directed</v>
      </c>
      <c r="D29">
        <f t="shared" si="1"/>
        <v>28</v>
      </c>
      <c r="G29" t="str">
        <f>REPLACE(weight!P30,2,1,".")</f>
        <v>7.27272727272727</v>
      </c>
    </row>
    <row r="30" spans="1:7" x14ac:dyDescent="0.25">
      <c r="A30">
        <f>weight!A31</f>
        <v>29</v>
      </c>
      <c r="B30">
        <f>weight!E31</f>
        <v>18</v>
      </c>
      <c r="C30" t="str">
        <f t="shared" si="0"/>
        <v>Directed</v>
      </c>
      <c r="D30">
        <f t="shared" si="1"/>
        <v>29</v>
      </c>
      <c r="G30" t="str">
        <f>REPLACE(weight!P31,2,1,".")</f>
        <v>9.09090909090909</v>
      </c>
    </row>
    <row r="31" spans="1:7" x14ac:dyDescent="0.25">
      <c r="A31">
        <f>weight!A32</f>
        <v>30</v>
      </c>
      <c r="B31">
        <f>weight!E32</f>
        <v>29</v>
      </c>
      <c r="C31" t="str">
        <f t="shared" si="0"/>
        <v>Directed</v>
      </c>
      <c r="D31">
        <f t="shared" si="1"/>
        <v>30</v>
      </c>
      <c r="G31" t="str">
        <f>REPLACE(weight!P32,2,1,".")</f>
        <v>9.72727272727273</v>
      </c>
    </row>
    <row r="32" spans="1:7" x14ac:dyDescent="0.25">
      <c r="A32">
        <f>weight!A33</f>
        <v>31</v>
      </c>
      <c r="B32">
        <f>weight!E33</f>
        <v>29</v>
      </c>
      <c r="C32" t="str">
        <f t="shared" si="0"/>
        <v>Directed</v>
      </c>
      <c r="D32">
        <f t="shared" si="1"/>
        <v>31</v>
      </c>
      <c r="G32" t="str">
        <f>REPLACE(weight!P33,2,1,".")</f>
        <v>9.</v>
      </c>
    </row>
    <row r="33" spans="1:7" x14ac:dyDescent="0.25">
      <c r="A33">
        <f>weight!A34</f>
        <v>32</v>
      </c>
      <c r="B33">
        <f>weight!E34</f>
        <v>29</v>
      </c>
      <c r="C33" t="str">
        <f t="shared" si="0"/>
        <v>Directed</v>
      </c>
      <c r="D33">
        <f t="shared" si="1"/>
        <v>32</v>
      </c>
      <c r="G33" t="str">
        <f>REPLACE(weight!P34,2,1,".")</f>
        <v>8.09090909090909</v>
      </c>
    </row>
    <row r="34" spans="1:7" x14ac:dyDescent="0.25">
      <c r="A34">
        <f>weight!A35</f>
        <v>33</v>
      </c>
      <c r="B34">
        <f>weight!E35</f>
        <v>29</v>
      </c>
      <c r="C34" t="str">
        <f t="shared" si="0"/>
        <v>Directed</v>
      </c>
      <c r="D34">
        <f t="shared" si="1"/>
        <v>33</v>
      </c>
      <c r="G34" t="str">
        <f>REPLACE(weight!P35,2,1,".")</f>
        <v>6.</v>
      </c>
    </row>
    <row r="35" spans="1:7" x14ac:dyDescent="0.25">
      <c r="A35">
        <f>weight!A36</f>
        <v>34</v>
      </c>
      <c r="B35">
        <f>weight!E36</f>
        <v>29</v>
      </c>
      <c r="C35" t="str">
        <f t="shared" si="0"/>
        <v>Directed</v>
      </c>
      <c r="D35">
        <f t="shared" si="1"/>
        <v>34</v>
      </c>
      <c r="G35" t="str">
        <f>REPLACE(weight!P36,2,1,".")</f>
        <v>7.81818181818182</v>
      </c>
    </row>
    <row r="36" spans="1:7" x14ac:dyDescent="0.25">
      <c r="A36">
        <f>weight!A37</f>
        <v>35</v>
      </c>
      <c r="B36">
        <f>weight!E37</f>
        <v>29</v>
      </c>
      <c r="C36" t="str">
        <f t="shared" si="0"/>
        <v>Directed</v>
      </c>
      <c r="D36">
        <f t="shared" si="1"/>
        <v>35</v>
      </c>
      <c r="G36" t="str">
        <f>REPLACE(weight!P37,2,1,".")</f>
        <v>7.18181818181818</v>
      </c>
    </row>
    <row r="37" spans="1:7" x14ac:dyDescent="0.25">
      <c r="A37">
        <f>weight!A38</f>
        <v>36</v>
      </c>
      <c r="B37">
        <f>weight!E38</f>
        <v>29</v>
      </c>
      <c r="C37" t="str">
        <f t="shared" si="0"/>
        <v>Directed</v>
      </c>
      <c r="D37">
        <f t="shared" si="1"/>
        <v>36</v>
      </c>
      <c r="G37" t="str">
        <f>REPLACE(weight!P38,2,1,".")</f>
        <v>8.</v>
      </c>
    </row>
    <row r="38" spans="1:7" x14ac:dyDescent="0.25">
      <c r="A38">
        <f>weight!A39</f>
        <v>37</v>
      </c>
      <c r="B38">
        <f>weight!E39</f>
        <v>29</v>
      </c>
      <c r="C38" t="str">
        <f t="shared" si="0"/>
        <v>Directed</v>
      </c>
      <c r="D38">
        <f t="shared" si="1"/>
        <v>37</v>
      </c>
      <c r="G38" t="str">
        <f>REPLACE(weight!P39,2,1,".")</f>
        <v>8.72727272727273</v>
      </c>
    </row>
    <row r="39" spans="1:7" x14ac:dyDescent="0.25">
      <c r="A39">
        <f>weight!A40</f>
        <v>38</v>
      </c>
      <c r="B39">
        <f>weight!E40</f>
        <v>29</v>
      </c>
      <c r="C39" t="str">
        <f t="shared" si="0"/>
        <v>Directed</v>
      </c>
      <c r="D39">
        <f t="shared" si="1"/>
        <v>38</v>
      </c>
      <c r="G39" t="str">
        <f>REPLACE(weight!P40,2,1,".")</f>
        <v>8.09090909090909</v>
      </c>
    </row>
    <row r="40" spans="1:7" x14ac:dyDescent="0.25">
      <c r="A40">
        <f>weight!A41</f>
        <v>39</v>
      </c>
      <c r="B40">
        <f>weight!E41</f>
        <v>29</v>
      </c>
      <c r="C40" t="str">
        <f t="shared" si="0"/>
        <v>Directed</v>
      </c>
      <c r="D40">
        <f t="shared" si="1"/>
        <v>39</v>
      </c>
      <c r="G40" t="str">
        <f>REPLACE(weight!P41,2,1,".")</f>
        <v>9.27272727272727</v>
      </c>
    </row>
    <row r="41" spans="1:7" x14ac:dyDescent="0.25">
      <c r="A41">
        <f>weight!A42</f>
        <v>40</v>
      </c>
      <c r="B41">
        <f>weight!E42</f>
        <v>29</v>
      </c>
      <c r="C41" t="str">
        <f t="shared" si="0"/>
        <v>Directed</v>
      </c>
      <c r="D41">
        <f t="shared" si="1"/>
        <v>40</v>
      </c>
      <c r="G41" t="str">
        <f>REPLACE(weight!P42,2,1,".")</f>
        <v>6.54545454545455</v>
      </c>
    </row>
    <row r="42" spans="1:7" x14ac:dyDescent="0.25">
      <c r="A42">
        <f>weight!A43</f>
        <v>41</v>
      </c>
      <c r="B42">
        <f>weight!E43</f>
        <v>18</v>
      </c>
      <c r="C42" t="str">
        <f t="shared" si="0"/>
        <v>Directed</v>
      </c>
      <c r="D42">
        <f t="shared" si="1"/>
        <v>41</v>
      </c>
      <c r="G42" t="str">
        <f>REPLACE(weight!P43,2,1,".")</f>
        <v>8.09090909090909</v>
      </c>
    </row>
    <row r="43" spans="1:7" x14ac:dyDescent="0.25">
      <c r="A43">
        <f>weight!A44</f>
        <v>42</v>
      </c>
      <c r="B43">
        <f>weight!E44</f>
        <v>41</v>
      </c>
      <c r="C43" t="str">
        <f t="shared" si="0"/>
        <v>Directed</v>
      </c>
      <c r="D43">
        <f t="shared" si="1"/>
        <v>42</v>
      </c>
      <c r="G43" t="str">
        <f>REPLACE(weight!P44,2,1,".")</f>
        <v>7.81818181818182</v>
      </c>
    </row>
    <row r="44" spans="1:7" x14ac:dyDescent="0.25">
      <c r="A44">
        <f>weight!A45</f>
        <v>43</v>
      </c>
      <c r="B44">
        <f>weight!E45</f>
        <v>41</v>
      </c>
      <c r="C44" t="str">
        <f t="shared" si="0"/>
        <v>Directed</v>
      </c>
      <c r="D44">
        <f t="shared" si="1"/>
        <v>43</v>
      </c>
      <c r="G44" t="str">
        <f>REPLACE(weight!P45,2,1,".")</f>
        <v>9.</v>
      </c>
    </row>
    <row r="45" spans="1:7" x14ac:dyDescent="0.25">
      <c r="A45">
        <f>weight!A46</f>
        <v>44</v>
      </c>
      <c r="B45">
        <f>weight!E46</f>
        <v>41</v>
      </c>
      <c r="C45" t="str">
        <f t="shared" si="0"/>
        <v>Directed</v>
      </c>
      <c r="D45">
        <f t="shared" si="1"/>
        <v>44</v>
      </c>
      <c r="G45" t="str">
        <f>REPLACE(weight!P46,2,1,".")</f>
        <v>7.90909090909091</v>
      </c>
    </row>
    <row r="46" spans="1:7" x14ac:dyDescent="0.25">
      <c r="A46">
        <f>weight!A47</f>
        <v>45</v>
      </c>
      <c r="B46">
        <f>weight!E47</f>
        <v>41</v>
      </c>
      <c r="C46" t="str">
        <f t="shared" si="0"/>
        <v>Directed</v>
      </c>
      <c r="D46">
        <f t="shared" si="1"/>
        <v>45</v>
      </c>
      <c r="G46" t="str">
        <f>REPLACE(weight!P47,2,1,".")</f>
        <v>9.81818181818182</v>
      </c>
    </row>
    <row r="47" spans="1:7" x14ac:dyDescent="0.25">
      <c r="A47">
        <f>weight!A48</f>
        <v>46</v>
      </c>
      <c r="B47">
        <f>weight!E48</f>
        <v>41</v>
      </c>
      <c r="C47" t="str">
        <f t="shared" si="0"/>
        <v>Directed</v>
      </c>
      <c r="D47">
        <f t="shared" si="1"/>
        <v>46</v>
      </c>
      <c r="G47" t="str">
        <f>REPLACE(weight!P48,2,1,".")</f>
        <v>7.09090909090909</v>
      </c>
    </row>
    <row r="48" spans="1:7" x14ac:dyDescent="0.25">
      <c r="A48">
        <f>weight!A49</f>
        <v>47</v>
      </c>
      <c r="B48">
        <f>weight!E49</f>
        <v>18</v>
      </c>
      <c r="C48" t="str">
        <f t="shared" si="0"/>
        <v>Directed</v>
      </c>
      <c r="D48">
        <f t="shared" si="1"/>
        <v>47</v>
      </c>
      <c r="G48" t="str">
        <f>REPLACE(weight!P49,2,1,".")</f>
        <v>6.63636363636364</v>
      </c>
    </row>
    <row r="49" spans="1:7" x14ac:dyDescent="0.25">
      <c r="A49">
        <f>weight!A50</f>
        <v>48</v>
      </c>
      <c r="B49">
        <f>weight!E50</f>
        <v>47</v>
      </c>
      <c r="C49" t="str">
        <f t="shared" si="0"/>
        <v>Directed</v>
      </c>
      <c r="D49">
        <f t="shared" si="1"/>
        <v>48</v>
      </c>
      <c r="G49" t="str">
        <f>REPLACE(weight!P50,2,1,".")</f>
        <v>7.90909090909091</v>
      </c>
    </row>
    <row r="50" spans="1:7" x14ac:dyDescent="0.25">
      <c r="A50">
        <f>weight!A51</f>
        <v>49</v>
      </c>
      <c r="B50">
        <f>weight!E51</f>
        <v>47</v>
      </c>
      <c r="C50" t="str">
        <f t="shared" si="0"/>
        <v>Directed</v>
      </c>
      <c r="D50">
        <f t="shared" si="1"/>
        <v>49</v>
      </c>
      <c r="G50" t="str">
        <f>REPLACE(weight!P51,2,1,".")</f>
        <v>7.09090909090909</v>
      </c>
    </row>
    <row r="51" spans="1:7" x14ac:dyDescent="0.25">
      <c r="A51">
        <f>weight!A52</f>
        <v>50</v>
      </c>
      <c r="B51">
        <f>weight!E52</f>
        <v>47</v>
      </c>
      <c r="C51" t="str">
        <f t="shared" si="0"/>
        <v>Directed</v>
      </c>
      <c r="D51">
        <f t="shared" si="1"/>
        <v>50</v>
      </c>
      <c r="G51" t="str">
        <f>REPLACE(weight!P52,2,1,".")</f>
        <v>7.45454545454545</v>
      </c>
    </row>
    <row r="52" spans="1:7" x14ac:dyDescent="0.25">
      <c r="A52">
        <f>weight!A53</f>
        <v>51</v>
      </c>
      <c r="B52">
        <f>weight!E53</f>
        <v>47</v>
      </c>
      <c r="C52" t="str">
        <f t="shared" si="0"/>
        <v>Directed</v>
      </c>
      <c r="D52">
        <f t="shared" si="1"/>
        <v>51</v>
      </c>
      <c r="G52" t="str">
        <f>REPLACE(weight!P53,2,1,".")</f>
        <v>9.36363636363636</v>
      </c>
    </row>
    <row r="53" spans="1:7" x14ac:dyDescent="0.25">
      <c r="A53">
        <f>weight!A54</f>
        <v>52</v>
      </c>
      <c r="B53">
        <f>weight!E54</f>
        <v>47</v>
      </c>
      <c r="C53" t="str">
        <f t="shared" si="0"/>
        <v>Directed</v>
      </c>
      <c r="D53">
        <f t="shared" si="1"/>
        <v>52</v>
      </c>
      <c r="G53" t="str">
        <f>REPLACE(weight!P54,2,1,".")</f>
        <v>7.18181818181818</v>
      </c>
    </row>
    <row r="54" spans="1:7" x14ac:dyDescent="0.25">
      <c r="A54">
        <f>weight!A55</f>
        <v>53</v>
      </c>
      <c r="B54">
        <f>weight!E55</f>
        <v>18</v>
      </c>
      <c r="C54" t="str">
        <f t="shared" si="0"/>
        <v>Directed</v>
      </c>
      <c r="D54">
        <f t="shared" si="1"/>
        <v>53</v>
      </c>
      <c r="G54" t="str">
        <f>REPLACE(weight!P55,2,1,".")</f>
        <v>8.63636363636364</v>
      </c>
    </row>
    <row r="55" spans="1:7" x14ac:dyDescent="0.25">
      <c r="A55">
        <f>weight!A56</f>
        <v>54</v>
      </c>
      <c r="B55">
        <f>weight!E56</f>
        <v>53</v>
      </c>
      <c r="C55" t="str">
        <f t="shared" si="0"/>
        <v>Directed</v>
      </c>
      <c r="D55">
        <f t="shared" si="1"/>
        <v>54</v>
      </c>
      <c r="G55" t="str">
        <f>REPLACE(weight!P56,2,1,".")</f>
        <v>9.09090909090909</v>
      </c>
    </row>
    <row r="56" spans="1:7" x14ac:dyDescent="0.25">
      <c r="A56">
        <f>weight!A57</f>
        <v>55</v>
      </c>
      <c r="B56">
        <f>weight!E57</f>
        <v>53</v>
      </c>
      <c r="C56" t="str">
        <f t="shared" si="0"/>
        <v>Directed</v>
      </c>
      <c r="D56">
        <f t="shared" si="1"/>
        <v>55</v>
      </c>
      <c r="G56" t="str">
        <f>REPLACE(weight!P57,2,1,".")</f>
        <v>9.90909090909091</v>
      </c>
    </row>
    <row r="57" spans="1:7" x14ac:dyDescent="0.25">
      <c r="A57">
        <f>weight!A58</f>
        <v>56</v>
      </c>
      <c r="B57">
        <f>weight!E58</f>
        <v>53</v>
      </c>
      <c r="C57" t="str">
        <f t="shared" si="0"/>
        <v>Directed</v>
      </c>
      <c r="D57">
        <f t="shared" si="1"/>
        <v>56</v>
      </c>
      <c r="G57" t="str">
        <f>REPLACE(weight!P58,2,1,".")</f>
        <v>6.54545454545455</v>
      </c>
    </row>
    <row r="58" spans="1:7" x14ac:dyDescent="0.25">
      <c r="A58">
        <f>weight!A59</f>
        <v>57</v>
      </c>
      <c r="B58">
        <f>weight!E59</f>
        <v>18</v>
      </c>
      <c r="C58" t="str">
        <f t="shared" si="0"/>
        <v>Directed</v>
      </c>
      <c r="D58">
        <f t="shared" si="1"/>
        <v>57</v>
      </c>
      <c r="G58" t="str">
        <f>REPLACE(weight!P59,2,1,".")</f>
        <v>7.81818181818182</v>
      </c>
    </row>
    <row r="59" spans="1:7" x14ac:dyDescent="0.25">
      <c r="A59">
        <f>weight!A60</f>
        <v>58</v>
      </c>
      <c r="B59">
        <f>weight!E60</f>
        <v>57</v>
      </c>
      <c r="C59" t="str">
        <f t="shared" si="0"/>
        <v>Directed</v>
      </c>
      <c r="D59">
        <f t="shared" si="1"/>
        <v>58</v>
      </c>
      <c r="G59" t="str">
        <f>REPLACE(weight!P60,2,1,".")</f>
        <v>9.</v>
      </c>
    </row>
    <row r="60" spans="1:7" x14ac:dyDescent="0.25">
      <c r="A60">
        <f>weight!A61</f>
        <v>59</v>
      </c>
      <c r="B60">
        <f>weight!E61</f>
        <v>57</v>
      </c>
      <c r="C60" t="str">
        <f t="shared" si="0"/>
        <v>Directed</v>
      </c>
      <c r="D60">
        <f t="shared" si="1"/>
        <v>59</v>
      </c>
      <c r="G60" t="str">
        <f>REPLACE(weight!P61,2,1,".")</f>
        <v>9.27272727272727</v>
      </c>
    </row>
    <row r="61" spans="1:7" x14ac:dyDescent="0.25">
      <c r="A61">
        <f>weight!A62</f>
        <v>60</v>
      </c>
      <c r="B61">
        <f>weight!E62</f>
        <v>57</v>
      </c>
      <c r="C61" t="str">
        <f t="shared" si="0"/>
        <v>Directed</v>
      </c>
      <c r="D61">
        <f t="shared" si="1"/>
        <v>60</v>
      </c>
      <c r="G61" t="str">
        <f>REPLACE(weight!P62,2,1,".")</f>
        <v>6.18181818181818</v>
      </c>
    </row>
    <row r="62" spans="1:7" x14ac:dyDescent="0.25">
      <c r="A62">
        <f>weight!A63</f>
        <v>61</v>
      </c>
      <c r="B62">
        <f>weight!E63</f>
        <v>18</v>
      </c>
      <c r="C62" t="str">
        <f t="shared" si="0"/>
        <v>Directed</v>
      </c>
      <c r="D62">
        <f t="shared" si="1"/>
        <v>61</v>
      </c>
      <c r="G62" t="str">
        <f>REPLACE(weight!P63,2,1,".")</f>
        <v>6.54545454545455</v>
      </c>
    </row>
    <row r="63" spans="1:7" x14ac:dyDescent="0.25">
      <c r="A63">
        <f>weight!A64</f>
        <v>62</v>
      </c>
      <c r="B63">
        <f>weight!E64</f>
        <v>61</v>
      </c>
      <c r="C63" t="str">
        <f t="shared" si="0"/>
        <v>Directed</v>
      </c>
      <c r="D63">
        <f t="shared" si="1"/>
        <v>62</v>
      </c>
      <c r="G63" t="str">
        <f>REPLACE(weight!P64,2,1,".")</f>
        <v>7.54545454545455</v>
      </c>
    </row>
    <row r="64" spans="1:7" x14ac:dyDescent="0.25">
      <c r="A64">
        <f>weight!A65</f>
        <v>63</v>
      </c>
      <c r="B64">
        <f>weight!E65</f>
        <v>61</v>
      </c>
      <c r="C64" t="str">
        <f t="shared" si="0"/>
        <v>Directed</v>
      </c>
      <c r="D64">
        <f t="shared" si="1"/>
        <v>63</v>
      </c>
      <c r="G64" t="str">
        <f>REPLACE(weight!P65,2,1,".")</f>
        <v>4.45454545454545</v>
      </c>
    </row>
    <row r="65" spans="1:7" x14ac:dyDescent="0.25">
      <c r="A65">
        <f>weight!A66</f>
        <v>64</v>
      </c>
      <c r="B65">
        <f>weight!E66</f>
        <v>18</v>
      </c>
      <c r="C65" t="str">
        <f t="shared" si="0"/>
        <v>Directed</v>
      </c>
      <c r="D65">
        <f t="shared" si="1"/>
        <v>64</v>
      </c>
      <c r="G65" t="str">
        <f>REPLACE(weight!P66,2,1,".")</f>
        <v>6.72727272727273</v>
      </c>
    </row>
    <row r="66" spans="1:7" x14ac:dyDescent="0.25">
      <c r="A66">
        <f>weight!A67</f>
        <v>65</v>
      </c>
      <c r="B66">
        <f>weight!E67</f>
        <v>18</v>
      </c>
      <c r="C66" t="str">
        <f t="shared" si="0"/>
        <v>Directed</v>
      </c>
      <c r="D66">
        <f t="shared" si="1"/>
        <v>65</v>
      </c>
      <c r="G66" t="str">
        <f>REPLACE(weight!P67,2,1,".")</f>
        <v>6.</v>
      </c>
    </row>
    <row r="67" spans="1:7" x14ac:dyDescent="0.25">
      <c r="A67">
        <f>weight!A68</f>
        <v>66</v>
      </c>
      <c r="B67">
        <f>weight!E68</f>
        <v>65</v>
      </c>
      <c r="C67" t="str">
        <f t="shared" si="0"/>
        <v>Directed</v>
      </c>
      <c r="D67">
        <f t="shared" si="1"/>
        <v>66</v>
      </c>
      <c r="G67" t="str">
        <f>REPLACE(weight!P68,2,1,".")</f>
        <v>8.63636363636364</v>
      </c>
    </row>
    <row r="68" spans="1:7" x14ac:dyDescent="0.25">
      <c r="A68">
        <f>weight!A69</f>
        <v>67</v>
      </c>
      <c r="B68">
        <f>weight!E69</f>
        <v>65</v>
      </c>
      <c r="C68" t="str">
        <f t="shared" ref="C68:C131" si="2">C67</f>
        <v>Directed</v>
      </c>
      <c r="D68">
        <f t="shared" ref="D68:D131" si="3">D67+1</f>
        <v>67</v>
      </c>
      <c r="G68" t="str">
        <f>REPLACE(weight!P69,2,1,".")</f>
        <v>8.45454545454546</v>
      </c>
    </row>
    <row r="69" spans="1:7" x14ac:dyDescent="0.25">
      <c r="A69">
        <f>weight!A70</f>
        <v>68</v>
      </c>
      <c r="B69">
        <f>weight!E70</f>
        <v>65</v>
      </c>
      <c r="C69" t="str">
        <f t="shared" si="2"/>
        <v>Directed</v>
      </c>
      <c r="D69">
        <f t="shared" si="3"/>
        <v>68</v>
      </c>
      <c r="G69" t="str">
        <f>REPLACE(weight!P70,2,1,".")</f>
        <v>4.90909090909091</v>
      </c>
    </row>
    <row r="70" spans="1:7" x14ac:dyDescent="0.25">
      <c r="A70">
        <f>weight!A71</f>
        <v>69</v>
      </c>
      <c r="B70">
        <f>weight!E71</f>
        <v>18</v>
      </c>
      <c r="C70" t="str">
        <f t="shared" si="2"/>
        <v>Directed</v>
      </c>
      <c r="D70">
        <f t="shared" si="3"/>
        <v>69</v>
      </c>
      <c r="G70" t="str">
        <f>REPLACE(weight!P71,2,1,".")</f>
        <v>6.90909090909091</v>
      </c>
    </row>
    <row r="71" spans="1:7" x14ac:dyDescent="0.25">
      <c r="A71">
        <f>weight!A72</f>
        <v>70</v>
      </c>
      <c r="B71">
        <f>weight!E72</f>
        <v>18</v>
      </c>
      <c r="C71" t="str">
        <f t="shared" si="2"/>
        <v>Directed</v>
      </c>
      <c r="D71">
        <f t="shared" si="3"/>
        <v>70</v>
      </c>
      <c r="G71" t="str">
        <f>REPLACE(weight!P72,2,1,".")</f>
        <v>6.90909090909091</v>
      </c>
    </row>
    <row r="72" spans="1:7" x14ac:dyDescent="0.25">
      <c r="A72">
        <f>weight!A73</f>
        <v>71</v>
      </c>
      <c r="B72">
        <f>weight!E73</f>
        <v>18</v>
      </c>
      <c r="C72" t="str">
        <f t="shared" si="2"/>
        <v>Directed</v>
      </c>
      <c r="D72">
        <f t="shared" si="3"/>
        <v>71</v>
      </c>
      <c r="G72" t="str">
        <f>REPLACE(weight!P73,2,1,".")</f>
        <v>5.27272727272727</v>
      </c>
    </row>
    <row r="73" spans="1:7" x14ac:dyDescent="0.25">
      <c r="A73">
        <f>weight!A74</f>
        <v>72</v>
      </c>
      <c r="B73">
        <f>weight!E74</f>
        <v>2</v>
      </c>
      <c r="C73" t="str">
        <f t="shared" si="2"/>
        <v>Directed</v>
      </c>
      <c r="D73">
        <f t="shared" si="3"/>
        <v>72</v>
      </c>
      <c r="G73" t="str">
        <f>REPLACE(weight!P74,2,1,".")</f>
        <v>6.36363636363636</v>
      </c>
    </row>
    <row r="74" spans="1:7" x14ac:dyDescent="0.25">
      <c r="A74">
        <f>weight!A75</f>
        <v>73</v>
      </c>
      <c r="B74">
        <f>weight!E75</f>
        <v>72</v>
      </c>
      <c r="C74" t="str">
        <f t="shared" si="2"/>
        <v>Directed</v>
      </c>
      <c r="D74">
        <f t="shared" si="3"/>
        <v>73</v>
      </c>
      <c r="G74" t="str">
        <f>REPLACE(weight!P75,2,1,".")</f>
        <v>9.18181818181818</v>
      </c>
    </row>
    <row r="75" spans="1:7" x14ac:dyDescent="0.25">
      <c r="A75">
        <f>weight!A76</f>
        <v>74</v>
      </c>
      <c r="B75">
        <f>weight!E76</f>
        <v>72</v>
      </c>
      <c r="C75" t="str">
        <f t="shared" si="2"/>
        <v>Directed</v>
      </c>
      <c r="D75">
        <f t="shared" si="3"/>
        <v>74</v>
      </c>
      <c r="G75" t="str">
        <f>REPLACE(weight!P76,2,1,".")</f>
        <v>7.54545454545455</v>
      </c>
    </row>
    <row r="76" spans="1:7" x14ac:dyDescent="0.25">
      <c r="A76">
        <f>weight!A77</f>
        <v>75</v>
      </c>
      <c r="B76">
        <f>weight!E77</f>
        <v>72</v>
      </c>
      <c r="C76" t="str">
        <f t="shared" si="2"/>
        <v>Directed</v>
      </c>
      <c r="D76">
        <f t="shared" si="3"/>
        <v>75</v>
      </c>
      <c r="G76" t="str">
        <f>REPLACE(weight!P77,2,1,".")</f>
        <v>8.36363636363636</v>
      </c>
    </row>
    <row r="77" spans="1:7" x14ac:dyDescent="0.25">
      <c r="A77">
        <f>weight!A78</f>
        <v>76</v>
      </c>
      <c r="B77">
        <f>weight!E78</f>
        <v>72</v>
      </c>
      <c r="C77" t="str">
        <f t="shared" si="2"/>
        <v>Directed</v>
      </c>
      <c r="D77">
        <f t="shared" si="3"/>
        <v>76</v>
      </c>
      <c r="G77" t="str">
        <f>REPLACE(weight!P78,2,1,".")</f>
        <v>8.</v>
      </c>
    </row>
    <row r="78" spans="1:7" x14ac:dyDescent="0.25">
      <c r="A78">
        <f>weight!A79</f>
        <v>77</v>
      </c>
      <c r="B78">
        <f>weight!E79</f>
        <v>72</v>
      </c>
      <c r="C78" t="str">
        <f t="shared" si="2"/>
        <v>Directed</v>
      </c>
      <c r="D78">
        <f t="shared" si="3"/>
        <v>77</v>
      </c>
      <c r="G78" t="str">
        <f>REPLACE(weight!P79,2,1,".")</f>
        <v>7.09090909090909</v>
      </c>
    </row>
    <row r="79" spans="1:7" x14ac:dyDescent="0.25">
      <c r="A79">
        <f>weight!A80</f>
        <v>78</v>
      </c>
      <c r="B79">
        <f>weight!E80</f>
        <v>72</v>
      </c>
      <c r="C79" t="str">
        <f t="shared" si="2"/>
        <v>Directed</v>
      </c>
      <c r="D79">
        <f t="shared" si="3"/>
        <v>78</v>
      </c>
      <c r="G79" t="str">
        <f>REPLACE(weight!P80,2,1,".")</f>
        <v>7.81818181818182</v>
      </c>
    </row>
    <row r="80" spans="1:7" x14ac:dyDescent="0.25">
      <c r="A80">
        <f>weight!A81</f>
        <v>79</v>
      </c>
      <c r="B80">
        <f>weight!E81</f>
        <v>72</v>
      </c>
      <c r="C80" t="str">
        <f t="shared" si="2"/>
        <v>Directed</v>
      </c>
      <c r="D80">
        <f t="shared" si="3"/>
        <v>79</v>
      </c>
      <c r="G80" t="str">
        <f>REPLACE(weight!P81,2,1,".")</f>
        <v>5.81818181818182</v>
      </c>
    </row>
    <row r="81" spans="1:7" x14ac:dyDescent="0.25">
      <c r="A81">
        <f>weight!A82</f>
        <v>80</v>
      </c>
      <c r="B81">
        <f>weight!E82</f>
        <v>2</v>
      </c>
      <c r="C81" t="str">
        <f t="shared" si="2"/>
        <v>Directed</v>
      </c>
      <c r="D81">
        <f t="shared" si="3"/>
        <v>80</v>
      </c>
      <c r="G81" t="str">
        <f>REPLACE(weight!P82,2,1,".")</f>
        <v>9.54545454545454</v>
      </c>
    </row>
    <row r="82" spans="1:7" x14ac:dyDescent="0.25">
      <c r="A82">
        <f>weight!A83</f>
        <v>81</v>
      </c>
      <c r="B82">
        <f>weight!E83</f>
        <v>80</v>
      </c>
      <c r="C82" t="str">
        <f t="shared" si="2"/>
        <v>Directed</v>
      </c>
      <c r="D82">
        <f t="shared" si="3"/>
        <v>81</v>
      </c>
      <c r="G82" t="str">
        <f>REPLACE(weight!P83,2,1,".")</f>
        <v>7.54545454545455</v>
      </c>
    </row>
    <row r="83" spans="1:7" x14ac:dyDescent="0.25">
      <c r="A83">
        <f>weight!A84</f>
        <v>82</v>
      </c>
      <c r="B83">
        <f>weight!E84</f>
        <v>80</v>
      </c>
      <c r="C83" t="str">
        <f t="shared" si="2"/>
        <v>Directed</v>
      </c>
      <c r="D83">
        <f t="shared" si="3"/>
        <v>82</v>
      </c>
      <c r="G83" t="str">
        <f>REPLACE(weight!P84,2,1,".")</f>
        <v>7.</v>
      </c>
    </row>
    <row r="84" spans="1:7" x14ac:dyDescent="0.25">
      <c r="A84">
        <f>weight!A85</f>
        <v>83</v>
      </c>
      <c r="B84">
        <f>weight!E85</f>
        <v>80</v>
      </c>
      <c r="C84" t="str">
        <f t="shared" si="2"/>
        <v>Directed</v>
      </c>
      <c r="D84">
        <f t="shared" si="3"/>
        <v>83</v>
      </c>
      <c r="G84" t="str">
        <f>REPLACE(weight!P85,2,1,".")</f>
        <v>9.09090909090909</v>
      </c>
    </row>
    <row r="85" spans="1:7" x14ac:dyDescent="0.25">
      <c r="A85">
        <f>weight!A86</f>
        <v>84</v>
      </c>
      <c r="B85">
        <f>weight!E86</f>
        <v>80</v>
      </c>
      <c r="C85" t="str">
        <f t="shared" si="2"/>
        <v>Directed</v>
      </c>
      <c r="D85">
        <f t="shared" si="3"/>
        <v>84</v>
      </c>
      <c r="G85" t="str">
        <f>REPLACE(weight!P86,2,1,".")</f>
        <v>9.45454545454546</v>
      </c>
    </row>
    <row r="86" spans="1:7" x14ac:dyDescent="0.25">
      <c r="A86">
        <f>weight!A87</f>
        <v>85</v>
      </c>
      <c r="B86">
        <f>weight!E87</f>
        <v>80</v>
      </c>
      <c r="C86" t="str">
        <f t="shared" si="2"/>
        <v>Directed</v>
      </c>
      <c r="D86">
        <f t="shared" si="3"/>
        <v>85</v>
      </c>
      <c r="G86" t="str">
        <f>REPLACE(weight!P87,2,1,".")</f>
        <v>6.90909090909091</v>
      </c>
    </row>
    <row r="87" spans="1:7" x14ac:dyDescent="0.25">
      <c r="A87">
        <f>weight!A88</f>
        <v>86</v>
      </c>
      <c r="B87">
        <f>weight!E88</f>
        <v>80</v>
      </c>
      <c r="C87" t="str">
        <f t="shared" si="2"/>
        <v>Directed</v>
      </c>
      <c r="D87">
        <f t="shared" si="3"/>
        <v>86</v>
      </c>
      <c r="G87" t="str">
        <f>REPLACE(weight!P88,2,1,".")</f>
        <v>8.36363636363636</v>
      </c>
    </row>
    <row r="88" spans="1:7" x14ac:dyDescent="0.25">
      <c r="A88">
        <f>weight!A89</f>
        <v>87</v>
      </c>
      <c r="B88">
        <f>weight!E89</f>
        <v>80</v>
      </c>
      <c r="C88" t="str">
        <f t="shared" si="2"/>
        <v>Directed</v>
      </c>
      <c r="D88">
        <f t="shared" si="3"/>
        <v>87</v>
      </c>
      <c r="G88" t="str">
        <f>REPLACE(weight!P89,2,1,".")</f>
        <v>6.45454545454545</v>
      </c>
    </row>
    <row r="89" spans="1:7" x14ac:dyDescent="0.25">
      <c r="A89">
        <f>weight!A90</f>
        <v>88</v>
      </c>
      <c r="B89">
        <f>weight!E90</f>
        <v>80</v>
      </c>
      <c r="C89" t="str">
        <f t="shared" si="2"/>
        <v>Directed</v>
      </c>
      <c r="D89">
        <f t="shared" si="3"/>
        <v>88</v>
      </c>
      <c r="G89" t="str">
        <f>REPLACE(weight!P90,2,1,".")</f>
        <v>6.90909090909091</v>
      </c>
    </row>
    <row r="90" spans="1:7" x14ac:dyDescent="0.25">
      <c r="A90">
        <f>weight!A91</f>
        <v>89</v>
      </c>
      <c r="B90">
        <f>weight!E91</f>
        <v>1</v>
      </c>
      <c r="C90" t="str">
        <f t="shared" si="2"/>
        <v>Directed</v>
      </c>
      <c r="D90">
        <f t="shared" si="3"/>
        <v>89</v>
      </c>
      <c r="G90" t="str">
        <f>REPLACE(weight!P91,2,1,".")</f>
        <v>8.54545454545454</v>
      </c>
    </row>
    <row r="91" spans="1:7" x14ac:dyDescent="0.25">
      <c r="A91">
        <f>weight!A92</f>
        <v>90</v>
      </c>
      <c r="B91">
        <f>weight!E92</f>
        <v>89</v>
      </c>
      <c r="C91" t="str">
        <f t="shared" si="2"/>
        <v>Directed</v>
      </c>
      <c r="D91">
        <f t="shared" si="3"/>
        <v>90</v>
      </c>
      <c r="G91" t="str">
        <f>REPLACE(weight!P92,2,1,".")</f>
        <v>9.81818181818182</v>
      </c>
    </row>
    <row r="92" spans="1:7" x14ac:dyDescent="0.25">
      <c r="A92">
        <f>weight!A93</f>
        <v>91</v>
      </c>
      <c r="B92">
        <f>weight!E93</f>
        <v>89</v>
      </c>
      <c r="C92" t="str">
        <f t="shared" si="2"/>
        <v>Directed</v>
      </c>
      <c r="D92">
        <f t="shared" si="3"/>
        <v>91</v>
      </c>
      <c r="G92" t="str">
        <f>REPLACE(weight!P93,2,1,".")</f>
        <v>9.54545454545454</v>
      </c>
    </row>
    <row r="93" spans="1:7" x14ac:dyDescent="0.25">
      <c r="A93">
        <f>weight!A94</f>
        <v>92</v>
      </c>
      <c r="B93">
        <f>weight!E94</f>
        <v>89</v>
      </c>
      <c r="C93" t="str">
        <f t="shared" si="2"/>
        <v>Directed</v>
      </c>
      <c r="D93">
        <f t="shared" si="3"/>
        <v>92</v>
      </c>
      <c r="G93" t="str">
        <f>REPLACE(weight!P94,2,1,".")</f>
        <v>9.90909090909091</v>
      </c>
    </row>
    <row r="94" spans="1:7" x14ac:dyDescent="0.25">
      <c r="A94">
        <f>weight!A95</f>
        <v>93</v>
      </c>
      <c r="B94">
        <f>weight!E95</f>
        <v>89</v>
      </c>
      <c r="C94" t="str">
        <f t="shared" si="2"/>
        <v>Directed</v>
      </c>
      <c r="D94">
        <f t="shared" si="3"/>
        <v>93</v>
      </c>
      <c r="G94" t="str">
        <f>REPLACE(weight!P95,2,1,".")</f>
        <v>7.81818181818182</v>
      </c>
    </row>
    <row r="95" spans="1:7" x14ac:dyDescent="0.25">
      <c r="A95">
        <f>weight!A96</f>
        <v>94</v>
      </c>
      <c r="B95">
        <f>weight!E96</f>
        <v>89</v>
      </c>
      <c r="C95" t="str">
        <f t="shared" si="2"/>
        <v>Directed</v>
      </c>
      <c r="D95">
        <f t="shared" si="3"/>
        <v>94</v>
      </c>
      <c r="G95" t="str">
        <f>REPLACE(weight!P96,2,1,".")</f>
        <v>9.09090909090909</v>
      </c>
    </row>
    <row r="96" spans="1:7" x14ac:dyDescent="0.25">
      <c r="A96">
        <f>weight!A97</f>
        <v>95</v>
      </c>
      <c r="B96">
        <f>weight!E97</f>
        <v>89</v>
      </c>
      <c r="C96" t="str">
        <f t="shared" si="2"/>
        <v>Directed</v>
      </c>
      <c r="D96">
        <f t="shared" si="3"/>
        <v>95</v>
      </c>
      <c r="G96" t="str">
        <f>REPLACE(weight!P97,2,1,".")</f>
        <v>7.18181818181818</v>
      </c>
    </row>
    <row r="97" spans="1:7" x14ac:dyDescent="0.25">
      <c r="A97">
        <f>weight!A98</f>
        <v>96</v>
      </c>
      <c r="B97">
        <f>weight!E98</f>
        <v>89</v>
      </c>
      <c r="C97" t="str">
        <f t="shared" si="2"/>
        <v>Directed</v>
      </c>
      <c r="D97">
        <f t="shared" si="3"/>
        <v>96</v>
      </c>
      <c r="G97" t="str">
        <f>REPLACE(weight!P98,2,1,".")</f>
        <v>6.45454545454545</v>
      </c>
    </row>
    <row r="98" spans="1:7" x14ac:dyDescent="0.25">
      <c r="A98">
        <f>weight!A99</f>
        <v>97</v>
      </c>
      <c r="B98">
        <f>weight!E99</f>
        <v>89</v>
      </c>
      <c r="C98" t="str">
        <f t="shared" si="2"/>
        <v>Directed</v>
      </c>
      <c r="D98">
        <f t="shared" si="3"/>
        <v>97</v>
      </c>
      <c r="G98" t="str">
        <f>REPLACE(weight!P99,2,1,".")</f>
        <v>6.27272727272727</v>
      </c>
    </row>
    <row r="99" spans="1:7" x14ac:dyDescent="0.25">
      <c r="A99">
        <f>weight!A100</f>
        <v>98</v>
      </c>
      <c r="B99">
        <f>weight!E100</f>
        <v>1</v>
      </c>
      <c r="C99" t="str">
        <f t="shared" si="2"/>
        <v>Directed</v>
      </c>
      <c r="D99">
        <f t="shared" si="3"/>
        <v>98</v>
      </c>
      <c r="G99" t="str">
        <f>REPLACE(weight!P100,2,1,".")</f>
        <v>7.81818181818182</v>
      </c>
    </row>
    <row r="100" spans="1:7" x14ac:dyDescent="0.25">
      <c r="A100">
        <f>weight!A101</f>
        <v>99</v>
      </c>
      <c r="B100">
        <f>weight!E101</f>
        <v>98</v>
      </c>
      <c r="C100" t="str">
        <f t="shared" si="2"/>
        <v>Directed</v>
      </c>
      <c r="D100">
        <f t="shared" si="3"/>
        <v>99</v>
      </c>
      <c r="G100" t="str">
        <f>REPLACE(weight!P101,2,1,".")</f>
        <v>7.63636363636364</v>
      </c>
    </row>
    <row r="101" spans="1:7" x14ac:dyDescent="0.25">
      <c r="A101">
        <f>weight!A102</f>
        <v>100</v>
      </c>
      <c r="B101">
        <f>weight!E102</f>
        <v>98</v>
      </c>
      <c r="C101" t="str">
        <f t="shared" si="2"/>
        <v>Directed</v>
      </c>
      <c r="D101">
        <f t="shared" si="3"/>
        <v>100</v>
      </c>
      <c r="G101" t="str">
        <f>REPLACE(weight!P102,2,1,".")</f>
        <v>8.81818181818182</v>
      </c>
    </row>
    <row r="102" spans="1:7" x14ac:dyDescent="0.25">
      <c r="A102">
        <f>weight!A103</f>
        <v>101</v>
      </c>
      <c r="B102">
        <f>weight!E103</f>
        <v>98</v>
      </c>
      <c r="C102" t="str">
        <f t="shared" si="2"/>
        <v>Directed</v>
      </c>
      <c r="D102">
        <f t="shared" si="3"/>
        <v>101</v>
      </c>
      <c r="G102" t="str">
        <f>REPLACE(weight!P103,2,1,".")</f>
        <v>6.72727272727273</v>
      </c>
    </row>
    <row r="103" spans="1:7" x14ac:dyDescent="0.25">
      <c r="A103">
        <f>weight!A104</f>
        <v>102</v>
      </c>
      <c r="B103">
        <f>weight!E104</f>
        <v>1</v>
      </c>
      <c r="C103" t="str">
        <f t="shared" si="2"/>
        <v>Directed</v>
      </c>
      <c r="D103">
        <f t="shared" si="3"/>
        <v>102</v>
      </c>
      <c r="G103" t="str">
        <f>REPLACE(weight!P104,2,1,".")</f>
        <v>7.</v>
      </c>
    </row>
    <row r="104" spans="1:7" x14ac:dyDescent="0.25">
      <c r="A104">
        <f>weight!A105</f>
        <v>103</v>
      </c>
      <c r="B104">
        <f>weight!E105</f>
        <v>102</v>
      </c>
      <c r="C104" t="str">
        <f t="shared" si="2"/>
        <v>Directed</v>
      </c>
      <c r="D104">
        <f t="shared" si="3"/>
        <v>103</v>
      </c>
      <c r="G104" t="str">
        <f>REPLACE(weight!P105,2,1,".")</f>
        <v>9.18181818181818</v>
      </c>
    </row>
    <row r="105" spans="1:7" x14ac:dyDescent="0.25">
      <c r="A105">
        <f>weight!A106</f>
        <v>104</v>
      </c>
      <c r="B105">
        <f>weight!E106</f>
        <v>103</v>
      </c>
      <c r="C105" t="str">
        <f t="shared" si="2"/>
        <v>Directed</v>
      </c>
      <c r="D105">
        <f t="shared" si="3"/>
        <v>104</v>
      </c>
      <c r="G105" t="str">
        <f>REPLACE(weight!P106,2,1,".")</f>
        <v>8.90909090909091</v>
      </c>
    </row>
    <row r="106" spans="1:7" x14ac:dyDescent="0.25">
      <c r="A106">
        <f>weight!A107</f>
        <v>105</v>
      </c>
      <c r="B106">
        <f>weight!E107</f>
        <v>103</v>
      </c>
      <c r="C106" t="str">
        <f t="shared" si="2"/>
        <v>Directed</v>
      </c>
      <c r="D106">
        <f t="shared" si="3"/>
        <v>105</v>
      </c>
      <c r="G106" t="str">
        <f>REPLACE(weight!P107,2,1,".")</f>
        <v>7.81818181818182</v>
      </c>
    </row>
    <row r="107" spans="1:7" x14ac:dyDescent="0.25">
      <c r="A107">
        <f>weight!A108</f>
        <v>106</v>
      </c>
      <c r="B107">
        <f>weight!E108</f>
        <v>103</v>
      </c>
      <c r="C107" t="str">
        <f t="shared" si="2"/>
        <v>Directed</v>
      </c>
      <c r="D107">
        <f t="shared" si="3"/>
        <v>106</v>
      </c>
      <c r="G107" t="str">
        <f>REPLACE(weight!P108,2,1,".")</f>
        <v>6.63636363636364</v>
      </c>
    </row>
    <row r="108" spans="1:7" x14ac:dyDescent="0.25">
      <c r="A108">
        <f>weight!A109</f>
        <v>107</v>
      </c>
      <c r="B108">
        <f>weight!E109</f>
        <v>103</v>
      </c>
      <c r="C108" t="str">
        <f t="shared" si="2"/>
        <v>Directed</v>
      </c>
      <c r="D108">
        <f t="shared" si="3"/>
        <v>107</v>
      </c>
      <c r="G108" t="str">
        <f>REPLACE(weight!P109,2,1,".")</f>
        <v>6.90909090909091</v>
      </c>
    </row>
    <row r="109" spans="1:7" x14ac:dyDescent="0.25">
      <c r="A109">
        <f>weight!A110</f>
        <v>108</v>
      </c>
      <c r="B109">
        <f>weight!E110</f>
        <v>103</v>
      </c>
      <c r="C109" t="str">
        <f t="shared" si="2"/>
        <v>Directed</v>
      </c>
      <c r="D109">
        <f t="shared" si="3"/>
        <v>108</v>
      </c>
      <c r="G109" t="str">
        <f>REPLACE(weight!P110,2,1,".")</f>
        <v>6.81818181818182</v>
      </c>
    </row>
    <row r="110" spans="1:7" x14ac:dyDescent="0.25">
      <c r="A110">
        <f>weight!A111</f>
        <v>109</v>
      </c>
      <c r="B110">
        <f>weight!E111</f>
        <v>103</v>
      </c>
      <c r="C110" t="str">
        <f t="shared" si="2"/>
        <v>Directed</v>
      </c>
      <c r="D110">
        <f t="shared" si="3"/>
        <v>109</v>
      </c>
      <c r="G110" t="str">
        <f>REPLACE(weight!P111,2,1,".")</f>
        <v>5.</v>
      </c>
    </row>
    <row r="111" spans="1:7" x14ac:dyDescent="0.25">
      <c r="A111">
        <f>weight!A112</f>
        <v>110</v>
      </c>
      <c r="B111">
        <f>weight!E112</f>
        <v>102</v>
      </c>
      <c r="C111" t="str">
        <f t="shared" si="2"/>
        <v>Directed</v>
      </c>
      <c r="D111">
        <f t="shared" si="3"/>
        <v>110</v>
      </c>
      <c r="G111" t="str">
        <f>REPLACE(weight!P112,2,1,".")</f>
        <v>8.09090909090909</v>
      </c>
    </row>
    <row r="112" spans="1:7" x14ac:dyDescent="0.25">
      <c r="A112">
        <f>weight!A113</f>
        <v>111</v>
      </c>
      <c r="B112">
        <f>weight!E113</f>
        <v>110</v>
      </c>
      <c r="C112" t="str">
        <f t="shared" si="2"/>
        <v>Directed</v>
      </c>
      <c r="D112">
        <f t="shared" si="3"/>
        <v>111</v>
      </c>
      <c r="G112" t="str">
        <f>REPLACE(weight!P113,2,1,".")</f>
        <v>8.90909090909091</v>
      </c>
    </row>
    <row r="113" spans="1:7" x14ac:dyDescent="0.25">
      <c r="A113">
        <f>weight!A114</f>
        <v>112</v>
      </c>
      <c r="B113">
        <f>weight!E114</f>
        <v>110</v>
      </c>
      <c r="C113" t="str">
        <f t="shared" si="2"/>
        <v>Directed</v>
      </c>
      <c r="D113">
        <f t="shared" si="3"/>
        <v>112</v>
      </c>
      <c r="G113" t="str">
        <f>REPLACE(weight!P114,2,1,".")</f>
        <v>7.09090909090909</v>
      </c>
    </row>
    <row r="114" spans="1:7" x14ac:dyDescent="0.25">
      <c r="A114">
        <f>weight!A115</f>
        <v>113</v>
      </c>
      <c r="B114">
        <f>weight!E115</f>
        <v>110</v>
      </c>
      <c r="C114" t="str">
        <f t="shared" si="2"/>
        <v>Directed</v>
      </c>
      <c r="D114">
        <f t="shared" si="3"/>
        <v>113</v>
      </c>
      <c r="G114" t="str">
        <f>REPLACE(weight!P115,2,1,".")</f>
        <v>8.09090909090909</v>
      </c>
    </row>
    <row r="115" spans="1:7" x14ac:dyDescent="0.25">
      <c r="A115">
        <f>weight!A116</f>
        <v>114</v>
      </c>
      <c r="B115">
        <f>weight!E116</f>
        <v>110</v>
      </c>
      <c r="C115" t="str">
        <f t="shared" si="2"/>
        <v>Directed</v>
      </c>
      <c r="D115">
        <f t="shared" si="3"/>
        <v>114</v>
      </c>
      <c r="G115" t="str">
        <f>REPLACE(weight!P116,2,1,".")</f>
        <v>5.18181818181818</v>
      </c>
    </row>
    <row r="116" spans="1:7" x14ac:dyDescent="0.25">
      <c r="A116">
        <f>weight!A117</f>
        <v>115</v>
      </c>
      <c r="B116">
        <f>weight!E117</f>
        <v>102</v>
      </c>
      <c r="C116" t="str">
        <f t="shared" si="2"/>
        <v>Directed</v>
      </c>
      <c r="D116">
        <f t="shared" si="3"/>
        <v>115</v>
      </c>
      <c r="G116" t="str">
        <f>REPLACE(weight!P117,2,1,".")</f>
        <v>6.63636363636364</v>
      </c>
    </row>
    <row r="117" spans="1:7" x14ac:dyDescent="0.25">
      <c r="A117">
        <f>weight!A118</f>
        <v>116</v>
      </c>
      <c r="B117">
        <f>weight!E118</f>
        <v>115</v>
      </c>
      <c r="C117" t="str">
        <f t="shared" si="2"/>
        <v>Directed</v>
      </c>
      <c r="D117">
        <f t="shared" si="3"/>
        <v>116</v>
      </c>
      <c r="G117" t="str">
        <f>REPLACE(weight!P118,2,1,".")</f>
        <v>7.27272727272727</v>
      </c>
    </row>
    <row r="118" spans="1:7" x14ac:dyDescent="0.25">
      <c r="A118">
        <f>weight!A119</f>
        <v>117</v>
      </c>
      <c r="B118">
        <f>weight!E119</f>
        <v>115</v>
      </c>
      <c r="C118" t="str">
        <f t="shared" si="2"/>
        <v>Directed</v>
      </c>
      <c r="D118">
        <f t="shared" si="3"/>
        <v>117</v>
      </c>
      <c r="G118" t="str">
        <f>REPLACE(weight!P119,2,1,".")</f>
        <v>5.90909090909091</v>
      </c>
    </row>
    <row r="119" spans="1:7" x14ac:dyDescent="0.25">
      <c r="A119">
        <f>weight!A120</f>
        <v>118</v>
      </c>
      <c r="B119">
        <f>weight!E120</f>
        <v>115</v>
      </c>
      <c r="C119" t="str">
        <f t="shared" si="2"/>
        <v>Directed</v>
      </c>
      <c r="D119">
        <f t="shared" si="3"/>
        <v>118</v>
      </c>
      <c r="G119" t="str">
        <f>REPLACE(weight!P120,2,1,".")</f>
        <v>5.63636363636364</v>
      </c>
    </row>
    <row r="120" spans="1:7" x14ac:dyDescent="0.25">
      <c r="A120">
        <f>weight!A121</f>
        <v>119</v>
      </c>
      <c r="B120">
        <f>weight!E121</f>
        <v>115</v>
      </c>
      <c r="C120" t="str">
        <f t="shared" si="2"/>
        <v>Directed</v>
      </c>
      <c r="D120">
        <f t="shared" si="3"/>
        <v>119</v>
      </c>
      <c r="G120" t="str">
        <f>REPLACE(weight!P121,2,1,".")</f>
        <v>4.36363636363636</v>
      </c>
    </row>
    <row r="121" spans="1:7" x14ac:dyDescent="0.25">
      <c r="A121">
        <f>weight!A122</f>
        <v>120</v>
      </c>
      <c r="B121">
        <f>weight!E122</f>
        <v>115</v>
      </c>
      <c r="C121" t="str">
        <f t="shared" si="2"/>
        <v>Directed</v>
      </c>
      <c r="D121">
        <f t="shared" si="3"/>
        <v>120</v>
      </c>
      <c r="G121" t="str">
        <f>REPLACE(weight!P122,2,1,".")</f>
        <v>5.81818181818182</v>
      </c>
    </row>
    <row r="122" spans="1:7" x14ac:dyDescent="0.25">
      <c r="A122">
        <f>weight!A123</f>
        <v>121</v>
      </c>
      <c r="B122">
        <f>weight!E123</f>
        <v>115</v>
      </c>
      <c r="C122" t="str">
        <f t="shared" si="2"/>
        <v>Directed</v>
      </c>
      <c r="D122">
        <f t="shared" si="3"/>
        <v>121</v>
      </c>
      <c r="G122" t="str">
        <f>REPLACE(weight!P123,2,1,".")</f>
        <v>3.</v>
      </c>
    </row>
    <row r="123" spans="1:7" x14ac:dyDescent="0.25">
      <c r="A123">
        <f>weight!A124</f>
        <v>122</v>
      </c>
      <c r="B123">
        <f>weight!E124</f>
        <v>115</v>
      </c>
      <c r="C123" t="str">
        <f t="shared" si="2"/>
        <v>Directed</v>
      </c>
      <c r="D123">
        <f t="shared" si="3"/>
        <v>122</v>
      </c>
      <c r="G123" t="str">
        <f>REPLACE(weight!P124,2,1,".")</f>
        <v>7.27272727272727</v>
      </c>
    </row>
    <row r="124" spans="1:7" x14ac:dyDescent="0.25">
      <c r="A124">
        <f>weight!A125</f>
        <v>123</v>
      </c>
      <c r="B124">
        <f>weight!E125</f>
        <v>115</v>
      </c>
      <c r="C124" t="str">
        <f t="shared" si="2"/>
        <v>Directed</v>
      </c>
      <c r="D124">
        <f t="shared" si="3"/>
        <v>123</v>
      </c>
      <c r="G124" t="str">
        <f>REPLACE(weight!P125,2,1,".")</f>
        <v>8.</v>
      </c>
    </row>
    <row r="125" spans="1:7" x14ac:dyDescent="0.25">
      <c r="A125">
        <f>weight!A126</f>
        <v>124</v>
      </c>
      <c r="B125">
        <f>weight!E126</f>
        <v>115</v>
      </c>
      <c r="C125" t="str">
        <f t="shared" si="2"/>
        <v>Directed</v>
      </c>
      <c r="D125">
        <f t="shared" si="3"/>
        <v>124</v>
      </c>
      <c r="G125" t="str">
        <f>REPLACE(weight!P126,2,1,".")</f>
        <v>6.72727272727273</v>
      </c>
    </row>
    <row r="126" spans="1:7" x14ac:dyDescent="0.25">
      <c r="A126">
        <f>weight!A127</f>
        <v>125</v>
      </c>
      <c r="B126">
        <f>weight!E127</f>
        <v>115</v>
      </c>
      <c r="C126" t="str">
        <f t="shared" si="2"/>
        <v>Directed</v>
      </c>
      <c r="D126">
        <f t="shared" si="3"/>
        <v>125</v>
      </c>
      <c r="G126" t="str">
        <f>REPLACE(weight!P127,2,1,".")</f>
        <v>4.36363636363636</v>
      </c>
    </row>
    <row r="127" spans="1:7" x14ac:dyDescent="0.25">
      <c r="A127">
        <f>weight!A128</f>
        <v>126</v>
      </c>
      <c r="B127">
        <f>weight!E128</f>
        <v>1</v>
      </c>
      <c r="C127" t="str">
        <f t="shared" si="2"/>
        <v>Directed</v>
      </c>
      <c r="D127">
        <f t="shared" si="3"/>
        <v>126</v>
      </c>
      <c r="G127" t="str">
        <f>REPLACE(weight!P128,2,1,".")</f>
        <v>6.18181818181818</v>
      </c>
    </row>
    <row r="128" spans="1:7" x14ac:dyDescent="0.25">
      <c r="A128">
        <f>weight!A129</f>
        <v>127</v>
      </c>
      <c r="B128">
        <f>weight!E129</f>
        <v>126</v>
      </c>
      <c r="C128" t="str">
        <f t="shared" si="2"/>
        <v>Directed</v>
      </c>
      <c r="D128">
        <f t="shared" si="3"/>
        <v>127</v>
      </c>
      <c r="G128" t="str">
        <f>REPLACE(weight!P129,2,1,".")</f>
        <v>5.63636363636364</v>
      </c>
    </row>
    <row r="129" spans="1:7" x14ac:dyDescent="0.25">
      <c r="A129">
        <f>weight!A130</f>
        <v>128</v>
      </c>
      <c r="B129">
        <f>weight!E130</f>
        <v>126</v>
      </c>
      <c r="C129" t="str">
        <f t="shared" si="2"/>
        <v>Directed</v>
      </c>
      <c r="D129">
        <f t="shared" si="3"/>
        <v>128</v>
      </c>
      <c r="G129" t="str">
        <f>REPLACE(weight!P130,2,1,".")</f>
        <v>7.63636363636364</v>
      </c>
    </row>
    <row r="130" spans="1:7" x14ac:dyDescent="0.25">
      <c r="A130">
        <f>weight!A131</f>
        <v>129</v>
      </c>
      <c r="B130">
        <f>weight!E131</f>
        <v>126</v>
      </c>
      <c r="C130" t="str">
        <f t="shared" si="2"/>
        <v>Directed</v>
      </c>
      <c r="D130">
        <f t="shared" si="3"/>
        <v>129</v>
      </c>
      <c r="G130" t="str">
        <f>REPLACE(weight!P131,2,1,".")</f>
        <v>9.18181818181818</v>
      </c>
    </row>
    <row r="131" spans="1:7" x14ac:dyDescent="0.25">
      <c r="A131">
        <f>weight!A132</f>
        <v>130</v>
      </c>
      <c r="B131">
        <f>weight!E132</f>
        <v>1</v>
      </c>
      <c r="C131" t="str">
        <f t="shared" si="2"/>
        <v>Directed</v>
      </c>
      <c r="D131">
        <f t="shared" si="3"/>
        <v>130</v>
      </c>
      <c r="G131" t="str">
        <f>REPLACE(weight!P132,2,1,".")</f>
        <v>3.63636363636364</v>
      </c>
    </row>
    <row r="132" spans="1:7" x14ac:dyDescent="0.25">
      <c r="A132">
        <f>weight!A133</f>
        <v>131</v>
      </c>
      <c r="B132">
        <f>weight!E133</f>
        <v>130</v>
      </c>
      <c r="C132" t="str">
        <f t="shared" ref="C132:C195" si="4">C131</f>
        <v>Directed</v>
      </c>
      <c r="D132">
        <f t="shared" ref="D132:D195" si="5">D131+1</f>
        <v>131</v>
      </c>
      <c r="G132" t="str">
        <f>REPLACE(weight!P133,2,1,".")</f>
        <v>4.81818181818182</v>
      </c>
    </row>
    <row r="133" spans="1:7" x14ac:dyDescent="0.25">
      <c r="A133">
        <f>weight!A134</f>
        <v>132</v>
      </c>
      <c r="B133">
        <f>weight!E134</f>
        <v>130</v>
      </c>
      <c r="C133" t="str">
        <f t="shared" si="4"/>
        <v>Directed</v>
      </c>
      <c r="D133">
        <f t="shared" si="5"/>
        <v>132</v>
      </c>
      <c r="G133" t="str">
        <f>REPLACE(weight!P134,2,1,".")</f>
        <v>6.90909090909091</v>
      </c>
    </row>
    <row r="134" spans="1:7" x14ac:dyDescent="0.25">
      <c r="A134">
        <f>weight!A135</f>
        <v>133</v>
      </c>
      <c r="B134">
        <f>weight!E135</f>
        <v>130</v>
      </c>
      <c r="C134" t="str">
        <f t="shared" si="4"/>
        <v>Directed</v>
      </c>
      <c r="D134">
        <f t="shared" si="5"/>
        <v>133</v>
      </c>
      <c r="G134" t="str">
        <f>REPLACE(weight!P135,2,1,".")</f>
        <v>7.72727272727273</v>
      </c>
    </row>
    <row r="135" spans="1:7" x14ac:dyDescent="0.25">
      <c r="A135">
        <f>weight!A136</f>
        <v>134</v>
      </c>
      <c r="B135">
        <f>weight!E136</f>
        <v>0</v>
      </c>
      <c r="C135" t="str">
        <f t="shared" si="4"/>
        <v>Directed</v>
      </c>
      <c r="D135">
        <f t="shared" si="5"/>
        <v>134</v>
      </c>
      <c r="G135" t="str">
        <f>REPLACE(weight!P136,2,1,".")</f>
        <v>8.</v>
      </c>
    </row>
    <row r="136" spans="1:7" x14ac:dyDescent="0.25">
      <c r="A136">
        <f>weight!A137</f>
        <v>135</v>
      </c>
      <c r="B136">
        <f>weight!E137</f>
        <v>134</v>
      </c>
      <c r="C136" t="str">
        <f t="shared" si="4"/>
        <v>Directed</v>
      </c>
      <c r="D136">
        <f t="shared" si="5"/>
        <v>135</v>
      </c>
      <c r="G136" t="str">
        <f>REPLACE(weight!P137,2,1,".")</f>
        <v>8.63636363636364</v>
      </c>
    </row>
    <row r="137" spans="1:7" x14ac:dyDescent="0.25">
      <c r="A137">
        <f>weight!A138</f>
        <v>136</v>
      </c>
      <c r="B137">
        <f>weight!E138</f>
        <v>135</v>
      </c>
      <c r="C137" t="str">
        <f t="shared" si="4"/>
        <v>Directed</v>
      </c>
      <c r="D137">
        <f t="shared" si="5"/>
        <v>136</v>
      </c>
      <c r="G137" t="str">
        <f>REPLACE(weight!P138,2,1,".")</f>
        <v>7.81818181818182</v>
      </c>
    </row>
    <row r="138" spans="1:7" x14ac:dyDescent="0.25">
      <c r="A138">
        <f>weight!A139</f>
        <v>137</v>
      </c>
      <c r="B138">
        <f>weight!E139</f>
        <v>136</v>
      </c>
      <c r="C138" t="str">
        <f t="shared" si="4"/>
        <v>Directed</v>
      </c>
      <c r="D138">
        <f t="shared" si="5"/>
        <v>137</v>
      </c>
      <c r="G138" t="str">
        <f>REPLACE(weight!P139,2,1,".")</f>
        <v>7.</v>
      </c>
    </row>
    <row r="139" spans="1:7" x14ac:dyDescent="0.25">
      <c r="A139">
        <f>weight!A140</f>
        <v>138</v>
      </c>
      <c r="B139">
        <f>weight!E140</f>
        <v>136</v>
      </c>
      <c r="C139" t="str">
        <f t="shared" si="4"/>
        <v>Directed</v>
      </c>
      <c r="D139">
        <f t="shared" si="5"/>
        <v>138</v>
      </c>
      <c r="G139" t="str">
        <f>REPLACE(weight!P140,2,1,".")</f>
        <v>9.</v>
      </c>
    </row>
    <row r="140" spans="1:7" x14ac:dyDescent="0.25">
      <c r="A140">
        <f>weight!A141</f>
        <v>139</v>
      </c>
      <c r="B140">
        <f>weight!E141</f>
        <v>136</v>
      </c>
      <c r="C140" t="str">
        <f t="shared" si="4"/>
        <v>Directed</v>
      </c>
      <c r="D140">
        <f t="shared" si="5"/>
        <v>139</v>
      </c>
      <c r="G140" t="str">
        <f>REPLACE(weight!P141,2,1,".")</f>
        <v>6.27272727272727</v>
      </c>
    </row>
    <row r="141" spans="1:7" x14ac:dyDescent="0.25">
      <c r="A141">
        <f>weight!A142</f>
        <v>140</v>
      </c>
      <c r="B141">
        <f>weight!E142</f>
        <v>136</v>
      </c>
      <c r="C141" t="str">
        <f t="shared" si="4"/>
        <v>Directed</v>
      </c>
      <c r="D141">
        <f t="shared" si="5"/>
        <v>140</v>
      </c>
      <c r="G141" t="str">
        <f>REPLACE(weight!P142,2,1,".")</f>
        <v>8.45454545454546</v>
      </c>
    </row>
    <row r="142" spans="1:7" x14ac:dyDescent="0.25">
      <c r="A142">
        <f>weight!A143</f>
        <v>141</v>
      </c>
      <c r="B142">
        <f>weight!E143</f>
        <v>135</v>
      </c>
      <c r="C142" t="str">
        <f t="shared" si="4"/>
        <v>Directed</v>
      </c>
      <c r="D142">
        <f t="shared" si="5"/>
        <v>141</v>
      </c>
      <c r="G142" t="str">
        <f>REPLACE(weight!P143,2,1,".")</f>
        <v>9.18181818181818</v>
      </c>
    </row>
    <row r="143" spans="1:7" x14ac:dyDescent="0.25">
      <c r="A143">
        <f>weight!A144</f>
        <v>142</v>
      </c>
      <c r="B143">
        <f>weight!E144</f>
        <v>141</v>
      </c>
      <c r="C143" t="str">
        <f t="shared" si="4"/>
        <v>Directed</v>
      </c>
      <c r="D143">
        <f t="shared" si="5"/>
        <v>142</v>
      </c>
      <c r="G143" t="str">
        <f>REPLACE(weight!P144,2,1,".")</f>
        <v>8.90909090909091</v>
      </c>
    </row>
    <row r="144" spans="1:7" x14ac:dyDescent="0.25">
      <c r="A144">
        <f>weight!A145</f>
        <v>143</v>
      </c>
      <c r="B144">
        <f>weight!E145</f>
        <v>141</v>
      </c>
      <c r="C144" t="str">
        <f t="shared" si="4"/>
        <v>Directed</v>
      </c>
      <c r="D144">
        <f t="shared" si="5"/>
        <v>143</v>
      </c>
      <c r="G144" t="str">
        <f>REPLACE(weight!P145,2,1,".")</f>
        <v>7.90909090909091</v>
      </c>
    </row>
    <row r="145" spans="1:7" x14ac:dyDescent="0.25">
      <c r="A145">
        <f>weight!A146</f>
        <v>144</v>
      </c>
      <c r="B145">
        <f>weight!E146</f>
        <v>141</v>
      </c>
      <c r="C145" t="str">
        <f t="shared" si="4"/>
        <v>Directed</v>
      </c>
      <c r="D145">
        <f t="shared" si="5"/>
        <v>144</v>
      </c>
      <c r="G145" t="str">
        <f>REPLACE(weight!P146,2,1,".")</f>
        <v>7.54545454545455</v>
      </c>
    </row>
    <row r="146" spans="1:7" x14ac:dyDescent="0.25">
      <c r="A146">
        <f>weight!A147</f>
        <v>145</v>
      </c>
      <c r="B146">
        <f>weight!E147</f>
        <v>135</v>
      </c>
      <c r="C146" t="str">
        <f t="shared" si="4"/>
        <v>Directed</v>
      </c>
      <c r="D146">
        <f t="shared" si="5"/>
        <v>145</v>
      </c>
      <c r="G146" t="str">
        <f>REPLACE(weight!P147,2,1,".")</f>
        <v>8.90909090909091</v>
      </c>
    </row>
    <row r="147" spans="1:7" x14ac:dyDescent="0.25">
      <c r="A147">
        <f>weight!A148</f>
        <v>146</v>
      </c>
      <c r="B147">
        <f>weight!E148</f>
        <v>145</v>
      </c>
      <c r="C147" t="str">
        <f t="shared" si="4"/>
        <v>Directed</v>
      </c>
      <c r="D147">
        <f t="shared" si="5"/>
        <v>146</v>
      </c>
      <c r="G147" t="str">
        <f>REPLACE(weight!P148,2,1,".")</f>
        <v>7.18181818181818</v>
      </c>
    </row>
    <row r="148" spans="1:7" x14ac:dyDescent="0.25">
      <c r="A148">
        <f>weight!A149</f>
        <v>147</v>
      </c>
      <c r="B148">
        <f>weight!E149</f>
        <v>145</v>
      </c>
      <c r="C148" t="str">
        <f t="shared" si="4"/>
        <v>Directed</v>
      </c>
      <c r="D148">
        <f t="shared" si="5"/>
        <v>147</v>
      </c>
      <c r="G148" t="str">
        <f>REPLACE(weight!P149,2,1,".")</f>
        <v>9.72727272727273</v>
      </c>
    </row>
    <row r="149" spans="1:7" x14ac:dyDescent="0.25">
      <c r="A149">
        <f>weight!A150</f>
        <v>148</v>
      </c>
      <c r="B149">
        <f>weight!E150</f>
        <v>145</v>
      </c>
      <c r="C149" t="str">
        <f t="shared" si="4"/>
        <v>Directed</v>
      </c>
      <c r="D149">
        <f t="shared" si="5"/>
        <v>148</v>
      </c>
      <c r="G149" t="str">
        <f>REPLACE(weight!P150,2,1,".")</f>
        <v>6.36363636363636</v>
      </c>
    </row>
    <row r="150" spans="1:7" x14ac:dyDescent="0.25">
      <c r="A150">
        <f>weight!A151</f>
        <v>149</v>
      </c>
      <c r="B150">
        <f>weight!E151</f>
        <v>145</v>
      </c>
      <c r="C150" t="str">
        <f t="shared" si="4"/>
        <v>Directed</v>
      </c>
      <c r="D150">
        <f t="shared" si="5"/>
        <v>149</v>
      </c>
      <c r="G150" t="str">
        <f>REPLACE(weight!P151,2,1,".")</f>
        <v>9.36363636363636</v>
      </c>
    </row>
    <row r="151" spans="1:7" x14ac:dyDescent="0.25">
      <c r="A151">
        <f>weight!A152</f>
        <v>150</v>
      </c>
      <c r="B151">
        <f>weight!E152</f>
        <v>145</v>
      </c>
      <c r="C151" t="str">
        <f t="shared" si="4"/>
        <v>Directed</v>
      </c>
      <c r="D151">
        <f t="shared" si="5"/>
        <v>150</v>
      </c>
      <c r="G151" t="str">
        <f>REPLACE(weight!P152,2,1,".")</f>
        <v>7.09090909090909</v>
      </c>
    </row>
    <row r="152" spans="1:7" x14ac:dyDescent="0.25">
      <c r="A152">
        <f>weight!A153</f>
        <v>151</v>
      </c>
      <c r="B152">
        <f>weight!E153</f>
        <v>135</v>
      </c>
      <c r="C152" t="str">
        <f t="shared" si="4"/>
        <v>Directed</v>
      </c>
      <c r="D152">
        <f t="shared" si="5"/>
        <v>151</v>
      </c>
      <c r="G152" t="str">
        <f>REPLACE(weight!P153,2,1,".")</f>
        <v>7.27272727272727</v>
      </c>
    </row>
    <row r="153" spans="1:7" x14ac:dyDescent="0.25">
      <c r="A153">
        <f>weight!A154</f>
        <v>152</v>
      </c>
      <c r="B153">
        <f>weight!E154</f>
        <v>134</v>
      </c>
      <c r="C153" t="str">
        <f t="shared" si="4"/>
        <v>Directed</v>
      </c>
      <c r="D153">
        <f t="shared" si="5"/>
        <v>152</v>
      </c>
      <c r="G153" t="str">
        <f>REPLACE(weight!P154,2,1,".")</f>
        <v>9.72727272727273</v>
      </c>
    </row>
    <row r="154" spans="1:7" x14ac:dyDescent="0.25">
      <c r="A154">
        <f>weight!A155</f>
        <v>153</v>
      </c>
      <c r="B154">
        <f>weight!E155</f>
        <v>152</v>
      </c>
      <c r="C154" t="str">
        <f t="shared" si="4"/>
        <v>Directed</v>
      </c>
      <c r="D154">
        <f t="shared" si="5"/>
        <v>153</v>
      </c>
      <c r="G154" t="str">
        <f>REPLACE(weight!P155,2,1,".")</f>
        <v>8.36363636363636</v>
      </c>
    </row>
    <row r="155" spans="1:7" x14ac:dyDescent="0.25">
      <c r="A155">
        <f>weight!A156</f>
        <v>154</v>
      </c>
      <c r="B155">
        <f>weight!E156</f>
        <v>153</v>
      </c>
      <c r="C155" t="str">
        <f t="shared" si="4"/>
        <v>Directed</v>
      </c>
      <c r="D155">
        <f t="shared" si="5"/>
        <v>154</v>
      </c>
      <c r="G155" t="str">
        <f>REPLACE(weight!P156,2,1,".")</f>
        <v>7.36363636363636</v>
      </c>
    </row>
    <row r="156" spans="1:7" x14ac:dyDescent="0.25">
      <c r="A156">
        <f>weight!A157</f>
        <v>155</v>
      </c>
      <c r="B156">
        <f>weight!E157</f>
        <v>152</v>
      </c>
      <c r="C156" t="str">
        <f t="shared" si="4"/>
        <v>Directed</v>
      </c>
      <c r="D156">
        <f t="shared" si="5"/>
        <v>155</v>
      </c>
      <c r="G156" t="str">
        <f>REPLACE(weight!P157,2,1,".")</f>
        <v>9.18181818181818</v>
      </c>
    </row>
    <row r="157" spans="1:7" x14ac:dyDescent="0.25">
      <c r="A157">
        <f>weight!A158</f>
        <v>156</v>
      </c>
      <c r="B157">
        <f>weight!E158</f>
        <v>155</v>
      </c>
      <c r="C157" t="str">
        <f t="shared" si="4"/>
        <v>Directed</v>
      </c>
      <c r="D157">
        <f t="shared" si="5"/>
        <v>156</v>
      </c>
      <c r="G157" t="str">
        <f>REPLACE(weight!P158,2,1,".")</f>
        <v>8.81818181818182</v>
      </c>
    </row>
    <row r="158" spans="1:7" x14ac:dyDescent="0.25">
      <c r="A158">
        <f>weight!A159</f>
        <v>157</v>
      </c>
      <c r="B158">
        <f>weight!E159</f>
        <v>155</v>
      </c>
      <c r="C158" t="str">
        <f t="shared" si="4"/>
        <v>Directed</v>
      </c>
      <c r="D158">
        <f t="shared" si="5"/>
        <v>157</v>
      </c>
      <c r="G158" t="str">
        <f>REPLACE(weight!P159,2,1,".")</f>
        <v>6.81818181818182</v>
      </c>
    </row>
    <row r="159" spans="1:7" x14ac:dyDescent="0.25">
      <c r="A159">
        <f>weight!A160</f>
        <v>158</v>
      </c>
      <c r="B159">
        <f>weight!E160</f>
        <v>155</v>
      </c>
      <c r="C159" t="str">
        <f t="shared" si="4"/>
        <v>Directed</v>
      </c>
      <c r="D159">
        <f t="shared" si="5"/>
        <v>158</v>
      </c>
      <c r="G159" t="str">
        <f>REPLACE(weight!P160,2,1,".")</f>
        <v>8.27272727272727</v>
      </c>
    </row>
    <row r="160" spans="1:7" x14ac:dyDescent="0.25">
      <c r="A160">
        <f>weight!A161</f>
        <v>159</v>
      </c>
      <c r="B160">
        <f>weight!E161</f>
        <v>152</v>
      </c>
      <c r="C160" t="str">
        <f t="shared" si="4"/>
        <v>Directed</v>
      </c>
      <c r="D160">
        <f t="shared" si="5"/>
        <v>159</v>
      </c>
      <c r="G160" t="str">
        <f>REPLACE(weight!P161,2,1,".")</f>
        <v>7.45454545454545</v>
      </c>
    </row>
    <row r="161" spans="1:7" x14ac:dyDescent="0.25">
      <c r="A161">
        <f>weight!A162</f>
        <v>160</v>
      </c>
      <c r="B161">
        <f>weight!E162</f>
        <v>159</v>
      </c>
      <c r="C161" t="str">
        <f t="shared" si="4"/>
        <v>Directed</v>
      </c>
      <c r="D161">
        <f t="shared" si="5"/>
        <v>160</v>
      </c>
      <c r="G161" t="str">
        <f>REPLACE(weight!P162,2,1,".")</f>
        <v>6.45454545454545</v>
      </c>
    </row>
    <row r="162" spans="1:7" x14ac:dyDescent="0.25">
      <c r="A162">
        <f>weight!A163</f>
        <v>161</v>
      </c>
      <c r="B162">
        <f>weight!E163</f>
        <v>152</v>
      </c>
      <c r="C162" t="str">
        <f t="shared" si="4"/>
        <v>Directed</v>
      </c>
      <c r="D162">
        <f t="shared" si="5"/>
        <v>161</v>
      </c>
      <c r="G162" t="str">
        <f>REPLACE(weight!P163,2,1,".")</f>
        <v>5.90909090909091</v>
      </c>
    </row>
    <row r="163" spans="1:7" x14ac:dyDescent="0.25">
      <c r="A163">
        <f>weight!A164</f>
        <v>162</v>
      </c>
      <c r="B163">
        <f>weight!E164</f>
        <v>152</v>
      </c>
      <c r="C163" t="str">
        <f t="shared" si="4"/>
        <v>Directed</v>
      </c>
      <c r="D163">
        <f t="shared" si="5"/>
        <v>162</v>
      </c>
      <c r="G163" t="str">
        <f>REPLACE(weight!P164,2,1,".")</f>
        <v>5.45454545454545</v>
      </c>
    </row>
    <row r="164" spans="1:7" x14ac:dyDescent="0.25">
      <c r="A164">
        <f>weight!A165</f>
        <v>163</v>
      </c>
      <c r="B164">
        <f>weight!E165</f>
        <v>152</v>
      </c>
      <c r="C164" t="str">
        <f t="shared" si="4"/>
        <v>Directed</v>
      </c>
      <c r="D164">
        <f t="shared" si="5"/>
        <v>163</v>
      </c>
      <c r="G164" t="str">
        <f>REPLACE(weight!P165,2,1,".")</f>
        <v>5.81818181818182</v>
      </c>
    </row>
    <row r="165" spans="1:7" x14ac:dyDescent="0.25">
      <c r="A165">
        <f>weight!A166</f>
        <v>164</v>
      </c>
      <c r="B165">
        <f>weight!E166</f>
        <v>134</v>
      </c>
      <c r="C165" t="str">
        <f t="shared" si="4"/>
        <v>Directed</v>
      </c>
      <c r="D165">
        <f t="shared" si="5"/>
        <v>164</v>
      </c>
      <c r="G165" t="str">
        <f>REPLACE(weight!P166,2,1,".")</f>
        <v>7.18181818181818</v>
      </c>
    </row>
    <row r="166" spans="1:7" x14ac:dyDescent="0.25">
      <c r="A166">
        <f>weight!A167</f>
        <v>165</v>
      </c>
      <c r="B166">
        <f>weight!E167</f>
        <v>164</v>
      </c>
      <c r="C166" t="str">
        <f t="shared" si="4"/>
        <v>Directed</v>
      </c>
      <c r="D166">
        <f t="shared" si="5"/>
        <v>165</v>
      </c>
      <c r="G166" t="str">
        <f>REPLACE(weight!P167,2,1,".")</f>
        <v>9.27272727272727</v>
      </c>
    </row>
    <row r="167" spans="1:7" x14ac:dyDescent="0.25">
      <c r="A167">
        <f>weight!A168</f>
        <v>166</v>
      </c>
      <c r="B167">
        <f>weight!E168</f>
        <v>164</v>
      </c>
      <c r="C167" t="str">
        <f t="shared" si="4"/>
        <v>Directed</v>
      </c>
      <c r="D167">
        <f t="shared" si="5"/>
        <v>166</v>
      </c>
      <c r="G167" t="str">
        <f>REPLACE(weight!P168,2,1,".")</f>
        <v>7.09090909090909</v>
      </c>
    </row>
    <row r="168" spans="1:7" x14ac:dyDescent="0.25">
      <c r="A168">
        <f>weight!A169</f>
        <v>167</v>
      </c>
      <c r="B168">
        <f>weight!E169</f>
        <v>164</v>
      </c>
      <c r="C168" t="str">
        <f t="shared" si="4"/>
        <v>Directed</v>
      </c>
      <c r="D168">
        <f t="shared" si="5"/>
        <v>167</v>
      </c>
      <c r="G168" t="str">
        <f>REPLACE(weight!P169,2,1,".")</f>
        <v>7.27272727272727</v>
      </c>
    </row>
    <row r="169" spans="1:7" x14ac:dyDescent="0.25">
      <c r="A169">
        <f>weight!A170</f>
        <v>168</v>
      </c>
      <c r="B169">
        <f>weight!E170</f>
        <v>134</v>
      </c>
      <c r="C169" t="str">
        <f t="shared" si="4"/>
        <v>Directed</v>
      </c>
      <c r="D169">
        <f t="shared" si="5"/>
        <v>168</v>
      </c>
      <c r="G169" t="str">
        <f>REPLACE(weight!P170,2,1,".")</f>
        <v>5.36363636363636</v>
      </c>
    </row>
    <row r="170" spans="1:7" x14ac:dyDescent="0.25">
      <c r="A170">
        <f>weight!A171</f>
        <v>169</v>
      </c>
      <c r="B170">
        <f>weight!E171</f>
        <v>168</v>
      </c>
      <c r="C170" t="str">
        <f t="shared" si="4"/>
        <v>Directed</v>
      </c>
      <c r="D170">
        <f t="shared" si="5"/>
        <v>169</v>
      </c>
      <c r="G170" t="str">
        <f>REPLACE(weight!P171,2,1,".")</f>
        <v>8.90909090909091</v>
      </c>
    </row>
    <row r="171" spans="1:7" x14ac:dyDescent="0.25">
      <c r="A171">
        <f>weight!A172</f>
        <v>170</v>
      </c>
      <c r="B171">
        <f>weight!E172</f>
        <v>168</v>
      </c>
      <c r="C171" t="str">
        <f t="shared" si="4"/>
        <v>Directed</v>
      </c>
      <c r="D171">
        <f t="shared" si="5"/>
        <v>170</v>
      </c>
      <c r="G171" t="str">
        <f>REPLACE(weight!P172,2,1,".")</f>
        <v>9.09090909090909</v>
      </c>
    </row>
    <row r="172" spans="1:7" x14ac:dyDescent="0.25">
      <c r="A172">
        <f>weight!A173</f>
        <v>171</v>
      </c>
      <c r="B172">
        <f>weight!E173</f>
        <v>168</v>
      </c>
      <c r="C172" t="str">
        <f t="shared" si="4"/>
        <v>Directed</v>
      </c>
      <c r="D172">
        <f t="shared" si="5"/>
        <v>171</v>
      </c>
      <c r="G172" t="str">
        <f>REPLACE(weight!P173,2,1,".")</f>
        <v>7.63636363636364</v>
      </c>
    </row>
    <row r="173" spans="1:7" x14ac:dyDescent="0.25">
      <c r="A173">
        <f>weight!A174</f>
        <v>172</v>
      </c>
      <c r="B173">
        <f>weight!E174</f>
        <v>168</v>
      </c>
      <c r="C173" t="str">
        <f t="shared" si="4"/>
        <v>Directed</v>
      </c>
      <c r="D173">
        <f t="shared" si="5"/>
        <v>172</v>
      </c>
      <c r="G173" t="str">
        <f>REPLACE(weight!P174,2,1,".")</f>
        <v>7.81818181818182</v>
      </c>
    </row>
    <row r="174" spans="1:7" x14ac:dyDescent="0.25">
      <c r="A174">
        <f>weight!A175</f>
        <v>173</v>
      </c>
      <c r="B174">
        <f>weight!E175</f>
        <v>168</v>
      </c>
      <c r="C174" t="str">
        <f t="shared" si="4"/>
        <v>Directed</v>
      </c>
      <c r="D174">
        <f t="shared" si="5"/>
        <v>173</v>
      </c>
      <c r="G174" t="str">
        <f>REPLACE(weight!P175,2,1,".")</f>
        <v>6.72727272727273</v>
      </c>
    </row>
    <row r="175" spans="1:7" x14ac:dyDescent="0.25">
      <c r="A175">
        <f>weight!A176</f>
        <v>174</v>
      </c>
      <c r="B175">
        <f>weight!E176</f>
        <v>0</v>
      </c>
      <c r="C175" t="str">
        <f t="shared" si="4"/>
        <v>Directed</v>
      </c>
      <c r="D175">
        <f t="shared" si="5"/>
        <v>174</v>
      </c>
      <c r="G175" t="str">
        <f>REPLACE(weight!P176,2,1,".")</f>
        <v>9.</v>
      </c>
    </row>
    <row r="176" spans="1:7" x14ac:dyDescent="0.25">
      <c r="A176">
        <f>weight!A177</f>
        <v>175</v>
      </c>
      <c r="B176">
        <f>weight!E177</f>
        <v>174</v>
      </c>
      <c r="C176" t="str">
        <f t="shared" si="4"/>
        <v>Directed</v>
      </c>
      <c r="D176">
        <f t="shared" si="5"/>
        <v>175</v>
      </c>
      <c r="G176" t="str">
        <f>REPLACE(weight!P177,2,1,".")</f>
        <v>8.54545454545454</v>
      </c>
    </row>
    <row r="177" spans="1:7" x14ac:dyDescent="0.25">
      <c r="A177">
        <f>weight!A178</f>
        <v>176</v>
      </c>
      <c r="B177">
        <f>weight!E178</f>
        <v>175</v>
      </c>
      <c r="C177" t="str">
        <f t="shared" si="4"/>
        <v>Directed</v>
      </c>
      <c r="D177">
        <f t="shared" si="5"/>
        <v>176</v>
      </c>
      <c r="G177" t="str">
        <f>REPLACE(weight!P178,2,1,".")</f>
        <v>7.90909090909091</v>
      </c>
    </row>
    <row r="178" spans="1:7" x14ac:dyDescent="0.25">
      <c r="A178">
        <f>weight!A179</f>
        <v>177</v>
      </c>
      <c r="B178">
        <f>weight!E179</f>
        <v>175</v>
      </c>
      <c r="C178" t="str">
        <f t="shared" si="4"/>
        <v>Directed</v>
      </c>
      <c r="D178">
        <f t="shared" si="5"/>
        <v>177</v>
      </c>
      <c r="G178" t="str">
        <f>REPLACE(weight!P179,2,1,".")</f>
        <v>9.</v>
      </c>
    </row>
    <row r="179" spans="1:7" x14ac:dyDescent="0.25">
      <c r="A179">
        <f>weight!A180</f>
        <v>178</v>
      </c>
      <c r="B179">
        <f>weight!E180</f>
        <v>175</v>
      </c>
      <c r="C179" t="str">
        <f t="shared" si="4"/>
        <v>Directed</v>
      </c>
      <c r="D179">
        <f t="shared" si="5"/>
        <v>178</v>
      </c>
      <c r="G179" t="str">
        <f>REPLACE(weight!P180,2,1,".")</f>
        <v>6.</v>
      </c>
    </row>
    <row r="180" spans="1:7" x14ac:dyDescent="0.25">
      <c r="A180">
        <f>weight!A181</f>
        <v>179</v>
      </c>
      <c r="B180">
        <f>weight!E181</f>
        <v>175</v>
      </c>
      <c r="C180" t="str">
        <f t="shared" si="4"/>
        <v>Directed</v>
      </c>
      <c r="D180">
        <f t="shared" si="5"/>
        <v>179</v>
      </c>
      <c r="G180" t="str">
        <f>REPLACE(weight!P181,2,1,".")</f>
        <v>5.09090909090909</v>
      </c>
    </row>
    <row r="181" spans="1:7" x14ac:dyDescent="0.25">
      <c r="A181">
        <f>weight!A182</f>
        <v>180</v>
      </c>
      <c r="B181">
        <f>weight!E182</f>
        <v>175</v>
      </c>
      <c r="C181" t="str">
        <f t="shared" si="4"/>
        <v>Directed</v>
      </c>
      <c r="D181">
        <f t="shared" si="5"/>
        <v>180</v>
      </c>
      <c r="G181" t="str">
        <f>REPLACE(weight!P182,2,1,".")</f>
        <v>1.</v>
      </c>
    </row>
    <row r="182" spans="1:7" x14ac:dyDescent="0.25">
      <c r="A182">
        <f>weight!A183</f>
        <v>181</v>
      </c>
      <c r="B182">
        <f>weight!E183</f>
        <v>175</v>
      </c>
      <c r="C182" t="str">
        <f t="shared" si="4"/>
        <v>Directed</v>
      </c>
      <c r="D182">
        <f t="shared" si="5"/>
        <v>181</v>
      </c>
      <c r="G182" t="str">
        <f>REPLACE(weight!P183,2,1,".")</f>
        <v>9.63636363636364</v>
      </c>
    </row>
    <row r="183" spans="1:7" x14ac:dyDescent="0.25">
      <c r="A183">
        <f>weight!A184</f>
        <v>182</v>
      </c>
      <c r="B183">
        <f>weight!E184</f>
        <v>175</v>
      </c>
      <c r="C183" t="str">
        <f t="shared" si="4"/>
        <v>Directed</v>
      </c>
      <c r="D183">
        <f t="shared" si="5"/>
        <v>182</v>
      </c>
      <c r="G183" t="str">
        <f>REPLACE(weight!P184,2,1,".")</f>
        <v>8.72727272727273</v>
      </c>
    </row>
    <row r="184" spans="1:7" x14ac:dyDescent="0.25">
      <c r="A184">
        <f>weight!A185</f>
        <v>183</v>
      </c>
      <c r="B184">
        <f>weight!E185</f>
        <v>175</v>
      </c>
      <c r="C184" t="str">
        <f t="shared" si="4"/>
        <v>Directed</v>
      </c>
      <c r="D184">
        <f t="shared" si="5"/>
        <v>183</v>
      </c>
      <c r="G184" t="str">
        <f>REPLACE(weight!P185,2,1,".")</f>
        <v>6.27272727272727</v>
      </c>
    </row>
    <row r="185" spans="1:7" x14ac:dyDescent="0.25">
      <c r="A185">
        <f>weight!A186</f>
        <v>184</v>
      </c>
      <c r="B185">
        <f>weight!E186</f>
        <v>174</v>
      </c>
      <c r="C185" t="str">
        <f t="shared" si="4"/>
        <v>Directed</v>
      </c>
      <c r="D185">
        <f t="shared" si="5"/>
        <v>184</v>
      </c>
      <c r="G185" t="str">
        <f>REPLACE(weight!P186,2,1,".")</f>
        <v>7.72727272727273</v>
      </c>
    </row>
    <row r="186" spans="1:7" x14ac:dyDescent="0.25">
      <c r="A186">
        <f>weight!A187</f>
        <v>185</v>
      </c>
      <c r="B186">
        <f>weight!E187</f>
        <v>184</v>
      </c>
      <c r="C186" t="str">
        <f t="shared" si="4"/>
        <v>Directed</v>
      </c>
      <c r="D186">
        <f t="shared" si="5"/>
        <v>185</v>
      </c>
      <c r="G186" t="str">
        <f>REPLACE(weight!P187,2,1,".")</f>
        <v>9.45454545454546</v>
      </c>
    </row>
    <row r="187" spans="1:7" x14ac:dyDescent="0.25">
      <c r="A187">
        <f>weight!A188</f>
        <v>186</v>
      </c>
      <c r="B187">
        <f>weight!E188</f>
        <v>185</v>
      </c>
      <c r="C187" t="str">
        <f t="shared" si="4"/>
        <v>Directed</v>
      </c>
      <c r="D187">
        <f t="shared" si="5"/>
        <v>186</v>
      </c>
      <c r="G187" t="str">
        <f>REPLACE(weight!P188,2,1,".")</f>
        <v>9.36363636363636</v>
      </c>
    </row>
    <row r="188" spans="1:7" x14ac:dyDescent="0.25">
      <c r="A188">
        <f>weight!A189</f>
        <v>187</v>
      </c>
      <c r="B188">
        <f>weight!E189</f>
        <v>185</v>
      </c>
      <c r="C188" t="str">
        <f t="shared" si="4"/>
        <v>Directed</v>
      </c>
      <c r="D188">
        <f t="shared" si="5"/>
        <v>187</v>
      </c>
      <c r="G188" t="str">
        <f>REPLACE(weight!P189,2,1,".")</f>
        <v>9.18181818181818</v>
      </c>
    </row>
    <row r="189" spans="1:7" x14ac:dyDescent="0.25">
      <c r="A189">
        <f>weight!A190</f>
        <v>188</v>
      </c>
      <c r="B189">
        <f>weight!E190</f>
        <v>185</v>
      </c>
      <c r="C189" t="str">
        <f t="shared" si="4"/>
        <v>Directed</v>
      </c>
      <c r="D189">
        <f t="shared" si="5"/>
        <v>188</v>
      </c>
      <c r="G189" t="str">
        <f>REPLACE(weight!P190,2,1,".")</f>
        <v>7.63636363636364</v>
      </c>
    </row>
    <row r="190" spans="1:7" x14ac:dyDescent="0.25">
      <c r="A190">
        <f>weight!A191</f>
        <v>189</v>
      </c>
      <c r="B190">
        <f>weight!E191</f>
        <v>185</v>
      </c>
      <c r="C190" t="str">
        <f t="shared" si="4"/>
        <v>Directed</v>
      </c>
      <c r="D190">
        <f t="shared" si="5"/>
        <v>189</v>
      </c>
      <c r="G190" t="str">
        <f>REPLACE(weight!P191,2,1,".")</f>
        <v>8.18181818181818</v>
      </c>
    </row>
    <row r="191" spans="1:7" x14ac:dyDescent="0.25">
      <c r="A191">
        <f>weight!A192</f>
        <v>190</v>
      </c>
      <c r="B191">
        <f>weight!E192</f>
        <v>185</v>
      </c>
      <c r="C191" t="str">
        <f t="shared" si="4"/>
        <v>Directed</v>
      </c>
      <c r="D191">
        <f t="shared" si="5"/>
        <v>190</v>
      </c>
      <c r="G191" t="str">
        <f>REPLACE(weight!P192,2,1,".")</f>
        <v>7.63636363636364</v>
      </c>
    </row>
    <row r="192" spans="1:7" x14ac:dyDescent="0.25">
      <c r="A192">
        <f>weight!A193</f>
        <v>191</v>
      </c>
      <c r="B192">
        <f>weight!E193</f>
        <v>184</v>
      </c>
      <c r="C192" t="str">
        <f t="shared" si="4"/>
        <v>Directed</v>
      </c>
      <c r="D192">
        <f t="shared" si="5"/>
        <v>191</v>
      </c>
      <c r="G192" t="str">
        <f>REPLACE(weight!P193,2,1,".")</f>
        <v>9.45454545454546</v>
      </c>
    </row>
    <row r="193" spans="1:7" x14ac:dyDescent="0.25">
      <c r="A193">
        <f>weight!A194</f>
        <v>192</v>
      </c>
      <c r="B193">
        <f>weight!E194</f>
        <v>191</v>
      </c>
      <c r="C193" t="str">
        <f t="shared" si="4"/>
        <v>Directed</v>
      </c>
      <c r="D193">
        <f t="shared" si="5"/>
        <v>192</v>
      </c>
      <c r="G193" t="str">
        <f>REPLACE(weight!P194,2,1,".")</f>
        <v>8.45454545454546</v>
      </c>
    </row>
    <row r="194" spans="1:7" x14ac:dyDescent="0.25">
      <c r="A194">
        <f>weight!A195</f>
        <v>193</v>
      </c>
      <c r="B194">
        <f>weight!E195</f>
        <v>191</v>
      </c>
      <c r="C194" t="str">
        <f t="shared" si="4"/>
        <v>Directed</v>
      </c>
      <c r="D194">
        <f t="shared" si="5"/>
        <v>193</v>
      </c>
      <c r="G194" t="str">
        <f>REPLACE(weight!P195,2,1,".")</f>
        <v>9.36363636363636</v>
      </c>
    </row>
    <row r="195" spans="1:7" x14ac:dyDescent="0.25">
      <c r="A195">
        <f>weight!A196</f>
        <v>194</v>
      </c>
      <c r="B195">
        <f>weight!E196</f>
        <v>193</v>
      </c>
      <c r="C195" t="str">
        <f t="shared" si="4"/>
        <v>Directed</v>
      </c>
      <c r="D195">
        <f t="shared" si="5"/>
        <v>194</v>
      </c>
      <c r="G195" t="str">
        <f>REPLACE(weight!P196,2,1,".")</f>
        <v>8.63636363636364</v>
      </c>
    </row>
    <row r="196" spans="1:7" x14ac:dyDescent="0.25">
      <c r="A196">
        <f>weight!A197</f>
        <v>195</v>
      </c>
      <c r="B196">
        <f>weight!E197</f>
        <v>193</v>
      </c>
      <c r="C196" t="str">
        <f t="shared" ref="C196:C259" si="6">C195</f>
        <v>Directed</v>
      </c>
      <c r="D196">
        <f t="shared" ref="D196:D259" si="7">D195+1</f>
        <v>195</v>
      </c>
      <c r="G196" t="str">
        <f>REPLACE(weight!P197,2,1,".")</f>
        <v>7.36363636363636</v>
      </c>
    </row>
    <row r="197" spans="1:7" x14ac:dyDescent="0.25">
      <c r="A197">
        <f>weight!A198</f>
        <v>196</v>
      </c>
      <c r="B197">
        <f>weight!E198</f>
        <v>193</v>
      </c>
      <c r="C197" t="str">
        <f t="shared" si="6"/>
        <v>Directed</v>
      </c>
      <c r="D197">
        <f t="shared" si="7"/>
        <v>196</v>
      </c>
      <c r="G197" t="str">
        <f>REPLACE(weight!P198,2,1,".")</f>
        <v>8.63636363636364</v>
      </c>
    </row>
    <row r="198" spans="1:7" x14ac:dyDescent="0.25">
      <c r="A198">
        <f>weight!A199</f>
        <v>197</v>
      </c>
      <c r="B198">
        <f>weight!E199</f>
        <v>193</v>
      </c>
      <c r="C198" t="str">
        <f t="shared" si="6"/>
        <v>Directed</v>
      </c>
      <c r="D198">
        <f t="shared" si="7"/>
        <v>197</v>
      </c>
      <c r="G198" t="str">
        <f>REPLACE(weight!P199,2,1,".")</f>
        <v>6.72727272727273</v>
      </c>
    </row>
    <row r="199" spans="1:7" x14ac:dyDescent="0.25">
      <c r="A199">
        <f>weight!A200</f>
        <v>198</v>
      </c>
      <c r="B199">
        <f>weight!E200</f>
        <v>193</v>
      </c>
      <c r="C199" t="str">
        <f t="shared" si="6"/>
        <v>Directed</v>
      </c>
      <c r="D199">
        <f t="shared" si="7"/>
        <v>198</v>
      </c>
      <c r="G199" t="str">
        <f>REPLACE(weight!P200,2,1,".")</f>
        <v>6.54545454545455</v>
      </c>
    </row>
    <row r="200" spans="1:7" x14ac:dyDescent="0.25">
      <c r="A200">
        <f>weight!A201</f>
        <v>199</v>
      </c>
      <c r="B200">
        <f>weight!E201</f>
        <v>193</v>
      </c>
      <c r="C200" t="str">
        <f t="shared" si="6"/>
        <v>Directed</v>
      </c>
      <c r="D200">
        <f t="shared" si="7"/>
        <v>199</v>
      </c>
      <c r="G200" t="str">
        <f>REPLACE(weight!P201,2,1,".")</f>
        <v>7.09090909090909</v>
      </c>
    </row>
    <row r="201" spans="1:7" x14ac:dyDescent="0.25">
      <c r="A201">
        <f>weight!A202</f>
        <v>200</v>
      </c>
      <c r="B201">
        <f>weight!E202</f>
        <v>191</v>
      </c>
      <c r="C201" t="str">
        <f t="shared" si="6"/>
        <v>Directed</v>
      </c>
      <c r="D201">
        <f t="shared" si="7"/>
        <v>200</v>
      </c>
      <c r="G201" t="str">
        <f>REPLACE(weight!P202,2,1,".")</f>
        <v>9.45454545454546</v>
      </c>
    </row>
    <row r="202" spans="1:7" x14ac:dyDescent="0.25">
      <c r="A202">
        <f>weight!A203</f>
        <v>201</v>
      </c>
      <c r="B202">
        <f>weight!E203</f>
        <v>200</v>
      </c>
      <c r="C202" t="str">
        <f t="shared" si="6"/>
        <v>Directed</v>
      </c>
      <c r="D202">
        <f t="shared" si="7"/>
        <v>201</v>
      </c>
      <c r="G202" t="str">
        <f>REPLACE(weight!P203,2,1,".")</f>
        <v>9.54545454545454</v>
      </c>
    </row>
    <row r="203" spans="1:7" x14ac:dyDescent="0.25">
      <c r="A203">
        <f>weight!A204</f>
        <v>202</v>
      </c>
      <c r="B203">
        <f>weight!E204</f>
        <v>200</v>
      </c>
      <c r="C203" t="str">
        <f t="shared" si="6"/>
        <v>Directed</v>
      </c>
      <c r="D203">
        <f t="shared" si="7"/>
        <v>202</v>
      </c>
      <c r="G203" t="str">
        <f>REPLACE(weight!P204,2,1,".")</f>
        <v>8.45454545454546</v>
      </c>
    </row>
    <row r="204" spans="1:7" x14ac:dyDescent="0.25">
      <c r="A204">
        <f>weight!A205</f>
        <v>203</v>
      </c>
      <c r="B204">
        <f>weight!E205</f>
        <v>200</v>
      </c>
      <c r="C204" t="str">
        <f t="shared" si="6"/>
        <v>Directed</v>
      </c>
      <c r="D204">
        <f t="shared" si="7"/>
        <v>203</v>
      </c>
      <c r="G204" t="str">
        <f>REPLACE(weight!P205,2,1,".")</f>
        <v>8.09090909090909</v>
      </c>
    </row>
    <row r="205" spans="1:7" x14ac:dyDescent="0.25">
      <c r="A205">
        <f>weight!A206</f>
        <v>204</v>
      </c>
      <c r="B205">
        <f>weight!E206</f>
        <v>200</v>
      </c>
      <c r="C205" t="str">
        <f t="shared" si="6"/>
        <v>Directed</v>
      </c>
      <c r="D205">
        <f t="shared" si="7"/>
        <v>204</v>
      </c>
      <c r="G205" t="str">
        <f>REPLACE(weight!P206,2,1,".")</f>
        <v>7.63636363636364</v>
      </c>
    </row>
    <row r="206" spans="1:7" x14ac:dyDescent="0.25">
      <c r="A206">
        <f>weight!A207</f>
        <v>205</v>
      </c>
      <c r="B206">
        <f>weight!E207</f>
        <v>191</v>
      </c>
      <c r="C206" t="str">
        <f t="shared" si="6"/>
        <v>Directed</v>
      </c>
      <c r="D206">
        <f t="shared" si="7"/>
        <v>205</v>
      </c>
      <c r="G206" t="str">
        <f>REPLACE(weight!P207,2,1,".")</f>
        <v>7.54545454545455</v>
      </c>
    </row>
    <row r="207" spans="1:7" x14ac:dyDescent="0.25">
      <c r="A207">
        <f>weight!A208</f>
        <v>206</v>
      </c>
      <c r="B207">
        <f>weight!E208</f>
        <v>205</v>
      </c>
      <c r="C207" t="str">
        <f t="shared" si="6"/>
        <v>Directed</v>
      </c>
      <c r="D207">
        <f t="shared" si="7"/>
        <v>206</v>
      </c>
      <c r="G207" t="str">
        <f>REPLACE(weight!P208,2,1,".")</f>
        <v>8.09090909090909</v>
      </c>
    </row>
    <row r="208" spans="1:7" x14ac:dyDescent="0.25">
      <c r="A208">
        <f>weight!A209</f>
        <v>207</v>
      </c>
      <c r="B208">
        <f>weight!E209</f>
        <v>205</v>
      </c>
      <c r="C208" t="str">
        <f t="shared" si="6"/>
        <v>Directed</v>
      </c>
      <c r="D208">
        <f t="shared" si="7"/>
        <v>207</v>
      </c>
      <c r="G208" t="str">
        <f>REPLACE(weight!P209,2,1,".")</f>
        <v>8.72727272727273</v>
      </c>
    </row>
    <row r="209" spans="1:7" x14ac:dyDescent="0.25">
      <c r="A209">
        <f>weight!A210</f>
        <v>208</v>
      </c>
      <c r="B209">
        <f>weight!E210</f>
        <v>205</v>
      </c>
      <c r="C209" t="str">
        <f t="shared" si="6"/>
        <v>Directed</v>
      </c>
      <c r="D209">
        <f t="shared" si="7"/>
        <v>208</v>
      </c>
      <c r="G209" t="str">
        <f>REPLACE(weight!P210,2,1,".")</f>
        <v>9.18181818181818</v>
      </c>
    </row>
    <row r="210" spans="1:7" x14ac:dyDescent="0.25">
      <c r="A210">
        <f>weight!A211</f>
        <v>209</v>
      </c>
      <c r="B210">
        <f>weight!E211</f>
        <v>205</v>
      </c>
      <c r="C210" t="str">
        <f t="shared" si="6"/>
        <v>Directed</v>
      </c>
      <c r="D210">
        <f t="shared" si="7"/>
        <v>209</v>
      </c>
      <c r="G210" t="str">
        <f>REPLACE(weight!P211,2,1,".")</f>
        <v>8.90909090909091</v>
      </c>
    </row>
    <row r="211" spans="1:7" x14ac:dyDescent="0.25">
      <c r="A211">
        <f>weight!A212</f>
        <v>210</v>
      </c>
      <c r="B211">
        <f>weight!E212</f>
        <v>205</v>
      </c>
      <c r="C211" t="str">
        <f t="shared" si="6"/>
        <v>Directed</v>
      </c>
      <c r="D211">
        <f t="shared" si="7"/>
        <v>210</v>
      </c>
      <c r="G211" t="str">
        <f>REPLACE(weight!P212,2,1,".")</f>
        <v>7.90909090909091</v>
      </c>
    </row>
    <row r="212" spans="1:7" x14ac:dyDescent="0.25">
      <c r="A212">
        <f>weight!A213</f>
        <v>211</v>
      </c>
      <c r="B212">
        <f>weight!E213</f>
        <v>205</v>
      </c>
      <c r="C212" t="str">
        <f t="shared" si="6"/>
        <v>Directed</v>
      </c>
      <c r="D212">
        <f t="shared" si="7"/>
        <v>211</v>
      </c>
      <c r="G212" t="str">
        <f>REPLACE(weight!P213,2,1,".")</f>
        <v>5.81818181818182</v>
      </c>
    </row>
    <row r="213" spans="1:7" x14ac:dyDescent="0.25">
      <c r="A213">
        <f>weight!A214</f>
        <v>212</v>
      </c>
      <c r="B213">
        <f>weight!E214</f>
        <v>191</v>
      </c>
      <c r="C213" t="str">
        <f t="shared" si="6"/>
        <v>Directed</v>
      </c>
      <c r="D213">
        <f t="shared" si="7"/>
        <v>212</v>
      </c>
      <c r="G213" t="str">
        <f>REPLACE(weight!P214,2,1,".")</f>
        <v>7.63636363636364</v>
      </c>
    </row>
    <row r="214" spans="1:7" x14ac:dyDescent="0.25">
      <c r="A214">
        <f>weight!A215</f>
        <v>213</v>
      </c>
      <c r="B214">
        <f>weight!E215</f>
        <v>212</v>
      </c>
      <c r="C214" t="str">
        <f t="shared" si="6"/>
        <v>Directed</v>
      </c>
      <c r="D214">
        <f t="shared" si="7"/>
        <v>213</v>
      </c>
      <c r="G214" t="str">
        <f>REPLACE(weight!P215,2,1,".")</f>
        <v>7.90909090909091</v>
      </c>
    </row>
    <row r="215" spans="1:7" x14ac:dyDescent="0.25">
      <c r="A215">
        <f>weight!A216</f>
        <v>214</v>
      </c>
      <c r="B215">
        <f>weight!E216</f>
        <v>212</v>
      </c>
      <c r="C215" t="str">
        <f t="shared" si="6"/>
        <v>Directed</v>
      </c>
      <c r="D215">
        <f t="shared" si="7"/>
        <v>214</v>
      </c>
      <c r="G215" t="str">
        <f>REPLACE(weight!P216,2,1,".")</f>
        <v>8.72727272727273</v>
      </c>
    </row>
    <row r="216" spans="1:7" x14ac:dyDescent="0.25">
      <c r="A216">
        <f>weight!A217</f>
        <v>215</v>
      </c>
      <c r="B216">
        <f>weight!E217</f>
        <v>212</v>
      </c>
      <c r="C216" t="str">
        <f t="shared" si="6"/>
        <v>Directed</v>
      </c>
      <c r="D216">
        <f t="shared" si="7"/>
        <v>215</v>
      </c>
      <c r="G216" t="str">
        <f>REPLACE(weight!P217,2,1,".")</f>
        <v>7.63636363636364</v>
      </c>
    </row>
    <row r="217" spans="1:7" x14ac:dyDescent="0.25">
      <c r="A217">
        <f>weight!A218</f>
        <v>216</v>
      </c>
      <c r="B217">
        <f>weight!E218</f>
        <v>191</v>
      </c>
      <c r="C217" t="str">
        <f t="shared" si="6"/>
        <v>Directed</v>
      </c>
      <c r="D217">
        <f t="shared" si="7"/>
        <v>216</v>
      </c>
      <c r="G217" t="str">
        <f>REPLACE(weight!P218,2,1,".")</f>
        <v>8.09090909090909</v>
      </c>
    </row>
    <row r="218" spans="1:7" x14ac:dyDescent="0.25">
      <c r="A218">
        <f>weight!A219</f>
        <v>217</v>
      </c>
      <c r="B218">
        <f>weight!E219</f>
        <v>216</v>
      </c>
      <c r="C218" t="str">
        <f t="shared" si="6"/>
        <v>Directed</v>
      </c>
      <c r="D218">
        <f t="shared" si="7"/>
        <v>217</v>
      </c>
      <c r="G218" t="str">
        <f>REPLACE(weight!P219,2,1,".")</f>
        <v>8.72727272727273</v>
      </c>
    </row>
    <row r="219" spans="1:7" x14ac:dyDescent="0.25">
      <c r="A219">
        <f>weight!A220</f>
        <v>218</v>
      </c>
      <c r="B219">
        <f>weight!E220</f>
        <v>216</v>
      </c>
      <c r="C219" t="str">
        <f t="shared" si="6"/>
        <v>Directed</v>
      </c>
      <c r="D219">
        <f t="shared" si="7"/>
        <v>218</v>
      </c>
      <c r="G219" t="str">
        <f>REPLACE(weight!P220,2,1,".")</f>
        <v>8.45454545454546</v>
      </c>
    </row>
    <row r="220" spans="1:7" x14ac:dyDescent="0.25">
      <c r="A220">
        <f>weight!A221</f>
        <v>219</v>
      </c>
      <c r="B220">
        <f>weight!E221</f>
        <v>216</v>
      </c>
      <c r="C220" t="str">
        <f t="shared" si="6"/>
        <v>Directed</v>
      </c>
      <c r="D220">
        <f t="shared" si="7"/>
        <v>219</v>
      </c>
      <c r="G220" t="str">
        <f>REPLACE(weight!P221,2,1,".")</f>
        <v>6.81818181818182</v>
      </c>
    </row>
    <row r="221" spans="1:7" x14ac:dyDescent="0.25">
      <c r="A221">
        <f>weight!A222</f>
        <v>220</v>
      </c>
      <c r="B221">
        <f>weight!E222</f>
        <v>216</v>
      </c>
      <c r="C221" t="str">
        <f t="shared" si="6"/>
        <v>Directed</v>
      </c>
      <c r="D221">
        <f t="shared" si="7"/>
        <v>220</v>
      </c>
      <c r="G221" t="str">
        <f>REPLACE(weight!P222,2,1,".")</f>
        <v>6.09090909090909</v>
      </c>
    </row>
    <row r="222" spans="1:7" x14ac:dyDescent="0.25">
      <c r="A222">
        <f>weight!A223</f>
        <v>221</v>
      </c>
      <c r="B222">
        <f>weight!E223</f>
        <v>191</v>
      </c>
      <c r="C222" t="str">
        <f t="shared" si="6"/>
        <v>Directed</v>
      </c>
      <c r="D222">
        <f t="shared" si="7"/>
        <v>221</v>
      </c>
      <c r="G222" t="str">
        <f>REPLACE(weight!P223,2,1,".")</f>
        <v>6.81818181818182</v>
      </c>
    </row>
    <row r="223" spans="1:7" x14ac:dyDescent="0.25">
      <c r="A223">
        <f>weight!A224</f>
        <v>222</v>
      </c>
      <c r="B223">
        <f>weight!E224</f>
        <v>221</v>
      </c>
      <c r="C223" t="str">
        <f t="shared" si="6"/>
        <v>Directed</v>
      </c>
      <c r="D223">
        <f t="shared" si="7"/>
        <v>222</v>
      </c>
      <c r="G223" t="str">
        <f>REPLACE(weight!P224,2,1,".")</f>
        <v>9.</v>
      </c>
    </row>
    <row r="224" spans="1:7" x14ac:dyDescent="0.25">
      <c r="A224">
        <f>weight!A225</f>
        <v>223</v>
      </c>
      <c r="B224">
        <f>weight!E225</f>
        <v>221</v>
      </c>
      <c r="C224" t="str">
        <f t="shared" si="6"/>
        <v>Directed</v>
      </c>
      <c r="D224">
        <f t="shared" si="7"/>
        <v>223</v>
      </c>
      <c r="G224" t="str">
        <f>REPLACE(weight!P225,2,1,".")</f>
        <v>7.90909090909091</v>
      </c>
    </row>
    <row r="225" spans="1:7" x14ac:dyDescent="0.25">
      <c r="A225">
        <f>weight!A226</f>
        <v>224</v>
      </c>
      <c r="B225">
        <f>weight!E226</f>
        <v>221</v>
      </c>
      <c r="C225" t="str">
        <f t="shared" si="6"/>
        <v>Directed</v>
      </c>
      <c r="D225">
        <f t="shared" si="7"/>
        <v>224</v>
      </c>
      <c r="G225" t="str">
        <f>REPLACE(weight!P226,2,1,".")</f>
        <v>7.27272727272727</v>
      </c>
    </row>
    <row r="226" spans="1:7" x14ac:dyDescent="0.25">
      <c r="A226">
        <f>weight!A227</f>
        <v>225</v>
      </c>
      <c r="B226">
        <f>weight!E227</f>
        <v>221</v>
      </c>
      <c r="C226" t="str">
        <f t="shared" si="6"/>
        <v>Directed</v>
      </c>
      <c r="D226">
        <f t="shared" si="7"/>
        <v>225</v>
      </c>
      <c r="G226" t="str">
        <f>REPLACE(weight!P227,2,1,".")</f>
        <v>7.</v>
      </c>
    </row>
    <row r="227" spans="1:7" x14ac:dyDescent="0.25">
      <c r="A227">
        <f>weight!A228</f>
        <v>226</v>
      </c>
      <c r="B227">
        <f>weight!E228</f>
        <v>174</v>
      </c>
      <c r="C227" t="str">
        <f t="shared" si="6"/>
        <v>Directed</v>
      </c>
      <c r="D227">
        <f t="shared" si="7"/>
        <v>226</v>
      </c>
      <c r="G227" t="str">
        <f>REPLACE(weight!P228,2,1,".")</f>
        <v>8.45454545454546</v>
      </c>
    </row>
    <row r="228" spans="1:7" x14ac:dyDescent="0.25">
      <c r="A228">
        <f>weight!A229</f>
        <v>227</v>
      </c>
      <c r="B228">
        <f>weight!E229</f>
        <v>226</v>
      </c>
      <c r="C228" t="str">
        <f t="shared" si="6"/>
        <v>Directed</v>
      </c>
      <c r="D228">
        <f t="shared" si="7"/>
        <v>227</v>
      </c>
      <c r="G228" t="str">
        <f>REPLACE(weight!P229,2,1,".")</f>
        <v>8.45454545454546</v>
      </c>
    </row>
    <row r="229" spans="1:7" x14ac:dyDescent="0.25">
      <c r="A229">
        <f>weight!A230</f>
        <v>228</v>
      </c>
      <c r="B229">
        <f>weight!E230</f>
        <v>226</v>
      </c>
      <c r="C229" t="str">
        <f t="shared" si="6"/>
        <v>Directed</v>
      </c>
      <c r="D229">
        <f t="shared" si="7"/>
        <v>228</v>
      </c>
      <c r="G229" t="str">
        <f>REPLACE(weight!P230,2,1,".")</f>
        <v>9.09090909090909</v>
      </c>
    </row>
    <row r="230" spans="1:7" x14ac:dyDescent="0.25">
      <c r="A230">
        <f>weight!A231</f>
        <v>229</v>
      </c>
      <c r="B230">
        <f>weight!E231</f>
        <v>226</v>
      </c>
      <c r="C230" t="str">
        <f t="shared" si="6"/>
        <v>Directed</v>
      </c>
      <c r="D230">
        <f t="shared" si="7"/>
        <v>229</v>
      </c>
      <c r="G230" t="str">
        <f>REPLACE(weight!P231,2,1,".")</f>
        <v>7.54545454545455</v>
      </c>
    </row>
    <row r="231" spans="1:7" x14ac:dyDescent="0.25">
      <c r="A231">
        <f>weight!A232</f>
        <v>230</v>
      </c>
      <c r="B231">
        <f>weight!E232</f>
        <v>226</v>
      </c>
      <c r="C231" t="str">
        <f t="shared" si="6"/>
        <v>Directed</v>
      </c>
      <c r="D231">
        <f t="shared" si="7"/>
        <v>230</v>
      </c>
      <c r="G231" t="str">
        <f>REPLACE(weight!P232,2,1,".")</f>
        <v>5.36363636363636</v>
      </c>
    </row>
    <row r="232" spans="1:7" x14ac:dyDescent="0.25">
      <c r="A232">
        <f>weight!A233</f>
        <v>231</v>
      </c>
      <c r="B232">
        <f>weight!E233</f>
        <v>174</v>
      </c>
      <c r="C232" t="str">
        <f t="shared" si="6"/>
        <v>Directed</v>
      </c>
      <c r="D232">
        <f t="shared" si="7"/>
        <v>231</v>
      </c>
      <c r="G232" t="str">
        <f>REPLACE(weight!P233,2,1,".")</f>
        <v>9.54545454545454</v>
      </c>
    </row>
    <row r="233" spans="1:7" x14ac:dyDescent="0.25">
      <c r="A233">
        <f>weight!A234</f>
        <v>232</v>
      </c>
      <c r="B233">
        <f>weight!E234</f>
        <v>231</v>
      </c>
      <c r="C233" t="str">
        <f t="shared" si="6"/>
        <v>Directed</v>
      </c>
      <c r="D233">
        <f t="shared" si="7"/>
        <v>232</v>
      </c>
      <c r="G233" t="str">
        <f>REPLACE(weight!P234,2,1,".")</f>
        <v>9.54545454545454</v>
      </c>
    </row>
    <row r="234" spans="1:7" x14ac:dyDescent="0.25">
      <c r="A234">
        <f>weight!A235</f>
        <v>233</v>
      </c>
      <c r="B234">
        <f>weight!E235</f>
        <v>231</v>
      </c>
      <c r="C234" t="str">
        <f t="shared" si="6"/>
        <v>Directed</v>
      </c>
      <c r="D234">
        <f t="shared" si="7"/>
        <v>233</v>
      </c>
      <c r="G234" t="str">
        <f>REPLACE(weight!P235,2,1,".")</f>
        <v>8.90909090909091</v>
      </c>
    </row>
    <row r="235" spans="1:7" x14ac:dyDescent="0.25">
      <c r="A235">
        <f>weight!A236</f>
        <v>234</v>
      </c>
      <c r="B235">
        <f>weight!E236</f>
        <v>231</v>
      </c>
      <c r="C235" t="str">
        <f t="shared" si="6"/>
        <v>Directed</v>
      </c>
      <c r="D235">
        <f t="shared" si="7"/>
        <v>234</v>
      </c>
      <c r="G235" t="str">
        <f>REPLACE(weight!P236,2,1,".")</f>
        <v>7.72727272727273</v>
      </c>
    </row>
    <row r="236" spans="1:7" x14ac:dyDescent="0.25">
      <c r="A236">
        <f>weight!A237</f>
        <v>235</v>
      </c>
      <c r="B236">
        <f>weight!E237</f>
        <v>231</v>
      </c>
      <c r="C236" t="str">
        <f t="shared" si="6"/>
        <v>Directed</v>
      </c>
      <c r="D236">
        <f t="shared" si="7"/>
        <v>235</v>
      </c>
      <c r="G236" t="str">
        <f>REPLACE(weight!P237,2,1,".")</f>
        <v>4.54545454545455</v>
      </c>
    </row>
    <row r="237" spans="1:7" x14ac:dyDescent="0.25">
      <c r="A237">
        <f>weight!A238</f>
        <v>236</v>
      </c>
      <c r="B237">
        <f>weight!E238</f>
        <v>174</v>
      </c>
      <c r="C237" t="str">
        <f t="shared" si="6"/>
        <v>Directed</v>
      </c>
      <c r="D237">
        <f t="shared" si="7"/>
        <v>236</v>
      </c>
      <c r="G237" t="str">
        <f>REPLACE(weight!P238,2,1,".")</f>
        <v>6.45454545454545</v>
      </c>
    </row>
    <row r="238" spans="1:7" x14ac:dyDescent="0.25">
      <c r="A238">
        <f>weight!A239</f>
        <v>237</v>
      </c>
      <c r="B238">
        <f>weight!E239</f>
        <v>236</v>
      </c>
      <c r="C238" t="str">
        <f t="shared" si="6"/>
        <v>Directed</v>
      </c>
      <c r="D238">
        <f t="shared" si="7"/>
        <v>237</v>
      </c>
      <c r="G238" t="str">
        <f>REPLACE(weight!P239,2,1,".")</f>
        <v>9.81818181818182</v>
      </c>
    </row>
    <row r="239" spans="1:7" x14ac:dyDescent="0.25">
      <c r="A239">
        <f>weight!A240</f>
        <v>238</v>
      </c>
      <c r="B239">
        <f>weight!E240</f>
        <v>236</v>
      </c>
      <c r="C239" t="str">
        <f t="shared" si="6"/>
        <v>Directed</v>
      </c>
      <c r="D239">
        <f t="shared" si="7"/>
        <v>238</v>
      </c>
      <c r="G239" t="str">
        <f>REPLACE(weight!P240,2,1,".")</f>
        <v>9.</v>
      </c>
    </row>
    <row r="240" spans="1:7" x14ac:dyDescent="0.25">
      <c r="A240">
        <f>weight!A241</f>
        <v>239</v>
      </c>
      <c r="B240">
        <f>weight!E241</f>
        <v>236</v>
      </c>
      <c r="C240" t="str">
        <f t="shared" si="6"/>
        <v>Directed</v>
      </c>
      <c r="D240">
        <f t="shared" si="7"/>
        <v>239</v>
      </c>
      <c r="G240" t="str">
        <f>REPLACE(weight!P241,2,1,".")</f>
        <v>8.27272727272727</v>
      </c>
    </row>
    <row r="241" spans="1:7" x14ac:dyDescent="0.25">
      <c r="A241">
        <f>weight!A242</f>
        <v>240</v>
      </c>
      <c r="B241">
        <f>weight!E242</f>
        <v>236</v>
      </c>
      <c r="C241" t="str">
        <f t="shared" si="6"/>
        <v>Directed</v>
      </c>
      <c r="D241">
        <f t="shared" si="7"/>
        <v>240</v>
      </c>
      <c r="G241" t="str">
        <f>REPLACE(weight!P242,2,1,".")</f>
        <v>7.90909090909091</v>
      </c>
    </row>
    <row r="242" spans="1:7" x14ac:dyDescent="0.25">
      <c r="A242">
        <f>weight!A243</f>
        <v>241</v>
      </c>
      <c r="B242">
        <f>weight!E243</f>
        <v>236</v>
      </c>
      <c r="C242" t="str">
        <f t="shared" si="6"/>
        <v>Directed</v>
      </c>
      <c r="D242">
        <f t="shared" si="7"/>
        <v>241</v>
      </c>
      <c r="G242" t="str">
        <f>REPLACE(weight!P243,2,1,".")</f>
        <v>7.54545454545455</v>
      </c>
    </row>
    <row r="243" spans="1:7" x14ac:dyDescent="0.25">
      <c r="A243">
        <f>weight!A244</f>
        <v>242</v>
      </c>
      <c r="B243">
        <f>weight!E244</f>
        <v>174</v>
      </c>
      <c r="C243" t="str">
        <f t="shared" si="6"/>
        <v>Directed</v>
      </c>
      <c r="D243">
        <f t="shared" si="7"/>
        <v>242</v>
      </c>
      <c r="G243" t="str">
        <f>REPLACE(weight!P244,2,1,".")</f>
        <v>6.45454545454545</v>
      </c>
    </row>
    <row r="244" spans="1:7" x14ac:dyDescent="0.25">
      <c r="A244">
        <f>weight!A245</f>
        <v>243</v>
      </c>
      <c r="B244">
        <f>weight!E245</f>
        <v>242</v>
      </c>
      <c r="C244" t="str">
        <f t="shared" si="6"/>
        <v>Directed</v>
      </c>
      <c r="D244">
        <f t="shared" si="7"/>
        <v>243</v>
      </c>
      <c r="G244" t="str">
        <f>REPLACE(weight!P245,2,1,".")</f>
        <v>9.36363636363636</v>
      </c>
    </row>
    <row r="245" spans="1:7" x14ac:dyDescent="0.25">
      <c r="A245">
        <f>weight!A246</f>
        <v>244</v>
      </c>
      <c r="B245">
        <f>weight!E246</f>
        <v>242</v>
      </c>
      <c r="C245" t="str">
        <f t="shared" si="6"/>
        <v>Directed</v>
      </c>
      <c r="D245">
        <f t="shared" si="7"/>
        <v>244</v>
      </c>
      <c r="G245" t="str">
        <f>REPLACE(weight!P246,2,1,".")</f>
        <v>6.45454545454545</v>
      </c>
    </row>
    <row r="246" spans="1:7" x14ac:dyDescent="0.25">
      <c r="A246">
        <f>weight!A247</f>
        <v>245</v>
      </c>
      <c r="B246">
        <f>weight!E247</f>
        <v>242</v>
      </c>
      <c r="C246" t="str">
        <f t="shared" si="6"/>
        <v>Directed</v>
      </c>
      <c r="D246">
        <f t="shared" si="7"/>
        <v>245</v>
      </c>
      <c r="G246" t="str">
        <f>REPLACE(weight!P247,2,1,".")</f>
        <v>8.27272727272727</v>
      </c>
    </row>
    <row r="247" spans="1:7" x14ac:dyDescent="0.25">
      <c r="A247">
        <f>weight!A248</f>
        <v>246</v>
      </c>
      <c r="B247">
        <f>weight!E248</f>
        <v>242</v>
      </c>
      <c r="C247" t="str">
        <f t="shared" si="6"/>
        <v>Directed</v>
      </c>
      <c r="D247">
        <f t="shared" si="7"/>
        <v>246</v>
      </c>
      <c r="G247" t="str">
        <f>REPLACE(weight!P248,2,1,".")</f>
        <v>9.54545454545454</v>
      </c>
    </row>
    <row r="248" spans="1:7" x14ac:dyDescent="0.25">
      <c r="A248">
        <f>weight!A249</f>
        <v>247</v>
      </c>
      <c r="B248">
        <f>weight!E249</f>
        <v>0</v>
      </c>
      <c r="C248" t="str">
        <f t="shared" si="6"/>
        <v>Directed</v>
      </c>
      <c r="D248">
        <f t="shared" si="7"/>
        <v>247</v>
      </c>
      <c r="G248" t="str">
        <f>REPLACE(weight!P249,2,1,".")</f>
        <v>8.63636363636364</v>
      </c>
    </row>
    <row r="249" spans="1:7" x14ac:dyDescent="0.25">
      <c r="A249">
        <f>weight!A250</f>
        <v>248</v>
      </c>
      <c r="B249">
        <f>weight!E250</f>
        <v>247</v>
      </c>
      <c r="C249" t="str">
        <f t="shared" si="6"/>
        <v>Directed</v>
      </c>
      <c r="D249">
        <f t="shared" si="7"/>
        <v>248</v>
      </c>
      <c r="G249" t="str">
        <f>REPLACE(weight!P250,2,1,".")</f>
        <v>9.63636363636364</v>
      </c>
    </row>
    <row r="250" spans="1:7" x14ac:dyDescent="0.25">
      <c r="A250">
        <f>weight!A251</f>
        <v>249</v>
      </c>
      <c r="B250">
        <f>weight!E251</f>
        <v>248</v>
      </c>
      <c r="C250" t="str">
        <f t="shared" si="6"/>
        <v>Directed</v>
      </c>
      <c r="D250">
        <f t="shared" si="7"/>
        <v>249</v>
      </c>
      <c r="G250" t="str">
        <f>REPLACE(weight!P251,2,1,".")</f>
        <v>9.27272727272727</v>
      </c>
    </row>
    <row r="251" spans="1:7" x14ac:dyDescent="0.25">
      <c r="A251">
        <f>weight!A252</f>
        <v>250</v>
      </c>
      <c r="B251">
        <f>weight!E252</f>
        <v>248</v>
      </c>
      <c r="C251" t="str">
        <f t="shared" si="6"/>
        <v>Directed</v>
      </c>
      <c r="D251">
        <f t="shared" si="7"/>
        <v>250</v>
      </c>
      <c r="G251" t="str">
        <f>REPLACE(weight!P252,2,1,".")</f>
        <v>9.27272727272727</v>
      </c>
    </row>
    <row r="252" spans="1:7" x14ac:dyDescent="0.25">
      <c r="A252">
        <f>weight!A253</f>
        <v>251</v>
      </c>
      <c r="B252">
        <f>weight!E253</f>
        <v>250</v>
      </c>
      <c r="C252" t="str">
        <f t="shared" si="6"/>
        <v>Directed</v>
      </c>
      <c r="D252">
        <f t="shared" si="7"/>
        <v>251</v>
      </c>
      <c r="G252" t="str">
        <f>REPLACE(weight!P253,2,1,".")</f>
        <v>8.45454545454546</v>
      </c>
    </row>
    <row r="253" spans="1:7" x14ac:dyDescent="0.25">
      <c r="A253">
        <f>weight!A254</f>
        <v>252</v>
      </c>
      <c r="B253">
        <f>weight!E254</f>
        <v>250</v>
      </c>
      <c r="C253" t="str">
        <f t="shared" si="6"/>
        <v>Directed</v>
      </c>
      <c r="D253">
        <f t="shared" si="7"/>
        <v>252</v>
      </c>
      <c r="G253" t="str">
        <f>REPLACE(weight!P254,2,1,".")</f>
        <v>9.18181818181818</v>
      </c>
    </row>
    <row r="254" spans="1:7" x14ac:dyDescent="0.25">
      <c r="A254">
        <f>weight!A255</f>
        <v>253</v>
      </c>
      <c r="B254">
        <f>weight!E255</f>
        <v>248</v>
      </c>
      <c r="C254" t="str">
        <f t="shared" si="6"/>
        <v>Directed</v>
      </c>
      <c r="D254">
        <f t="shared" si="7"/>
        <v>253</v>
      </c>
      <c r="G254" t="str">
        <f>REPLACE(weight!P255,2,1,".")</f>
        <v>7.54545454545455</v>
      </c>
    </row>
    <row r="255" spans="1:7" x14ac:dyDescent="0.25">
      <c r="A255">
        <f>weight!A256</f>
        <v>254</v>
      </c>
      <c r="B255">
        <f>weight!E256</f>
        <v>248</v>
      </c>
      <c r="C255" t="str">
        <f t="shared" si="6"/>
        <v>Directed</v>
      </c>
      <c r="D255">
        <f t="shared" si="7"/>
        <v>254</v>
      </c>
      <c r="G255" t="str">
        <f>REPLACE(weight!P256,2,1,".")</f>
        <v>7.81818181818182</v>
      </c>
    </row>
    <row r="256" spans="1:7" x14ac:dyDescent="0.25">
      <c r="A256">
        <f>weight!A257</f>
        <v>255</v>
      </c>
      <c r="B256">
        <f>weight!E257</f>
        <v>248</v>
      </c>
      <c r="C256" t="str">
        <f t="shared" si="6"/>
        <v>Directed</v>
      </c>
      <c r="D256">
        <f t="shared" si="7"/>
        <v>255</v>
      </c>
      <c r="G256" t="str">
        <f>REPLACE(weight!P257,2,1,".")</f>
        <v>8.63636363636364</v>
      </c>
    </row>
    <row r="257" spans="1:7" x14ac:dyDescent="0.25">
      <c r="A257">
        <f>weight!A258</f>
        <v>256</v>
      </c>
      <c r="B257">
        <f>weight!E258</f>
        <v>247</v>
      </c>
      <c r="C257" t="str">
        <f t="shared" si="6"/>
        <v>Directed</v>
      </c>
      <c r="D257">
        <f t="shared" si="7"/>
        <v>256</v>
      </c>
      <c r="G257" t="str">
        <f>REPLACE(weight!P258,2,1,".")</f>
        <v>5.63636363636364</v>
      </c>
    </row>
    <row r="258" spans="1:7" x14ac:dyDescent="0.25">
      <c r="A258">
        <f>weight!A259</f>
        <v>257</v>
      </c>
      <c r="B258">
        <f>weight!E259</f>
        <v>256</v>
      </c>
      <c r="C258" t="str">
        <f t="shared" si="6"/>
        <v>Directed</v>
      </c>
      <c r="D258">
        <f t="shared" si="7"/>
        <v>257</v>
      </c>
      <c r="G258" t="str">
        <f>REPLACE(weight!P259,2,1,".")</f>
        <v>7.45454545454545</v>
      </c>
    </row>
    <row r="259" spans="1:7" x14ac:dyDescent="0.25">
      <c r="A259">
        <f>weight!A260</f>
        <v>258</v>
      </c>
      <c r="B259">
        <f>weight!E260</f>
        <v>256</v>
      </c>
      <c r="C259" t="str">
        <f t="shared" si="6"/>
        <v>Directed</v>
      </c>
      <c r="D259">
        <f t="shared" si="7"/>
        <v>258</v>
      </c>
      <c r="G259" t="str">
        <f>REPLACE(weight!P260,2,1,".")</f>
        <v>8.81818181818182</v>
      </c>
    </row>
    <row r="260" spans="1:7" x14ac:dyDescent="0.25">
      <c r="A260">
        <f>weight!A261</f>
        <v>259</v>
      </c>
      <c r="B260">
        <f>weight!E261</f>
        <v>247</v>
      </c>
      <c r="C260" t="str">
        <f t="shared" ref="C260:C305" si="8">C259</f>
        <v>Directed</v>
      </c>
      <c r="D260">
        <f t="shared" ref="D260:D305" si="9">D259+1</f>
        <v>259</v>
      </c>
      <c r="G260" t="str">
        <f>REPLACE(weight!P261,2,1,".")</f>
        <v>4.18181818181818</v>
      </c>
    </row>
    <row r="261" spans="1:7" x14ac:dyDescent="0.25">
      <c r="A261">
        <f>weight!A262</f>
        <v>260</v>
      </c>
      <c r="B261">
        <f>weight!E262</f>
        <v>259</v>
      </c>
      <c r="C261" t="str">
        <f t="shared" si="8"/>
        <v>Directed</v>
      </c>
      <c r="D261">
        <f t="shared" si="9"/>
        <v>260</v>
      </c>
      <c r="G261" t="str">
        <f>REPLACE(weight!P262,2,1,".")</f>
        <v>8.63636363636364</v>
      </c>
    </row>
    <row r="262" spans="1:7" x14ac:dyDescent="0.25">
      <c r="A262">
        <f>weight!A263</f>
        <v>261</v>
      </c>
      <c r="B262">
        <f>weight!E263</f>
        <v>259</v>
      </c>
      <c r="C262" t="str">
        <f t="shared" si="8"/>
        <v>Directed</v>
      </c>
      <c r="D262">
        <f t="shared" si="9"/>
        <v>261</v>
      </c>
      <c r="G262" t="str">
        <f>REPLACE(weight!P263,2,1,".")</f>
        <v>7.</v>
      </c>
    </row>
    <row r="263" spans="1:7" x14ac:dyDescent="0.25">
      <c r="A263">
        <f>weight!A264</f>
        <v>262</v>
      </c>
      <c r="B263">
        <f>weight!E264</f>
        <v>259</v>
      </c>
      <c r="C263" t="str">
        <f t="shared" si="8"/>
        <v>Directed</v>
      </c>
      <c r="D263">
        <f t="shared" si="9"/>
        <v>262</v>
      </c>
      <c r="G263" t="str">
        <f>REPLACE(weight!P264,2,1,".")</f>
        <v>8.45454545454546</v>
      </c>
    </row>
    <row r="264" spans="1:7" x14ac:dyDescent="0.25">
      <c r="A264">
        <f>weight!A265</f>
        <v>263</v>
      </c>
      <c r="B264">
        <f>weight!E265</f>
        <v>259</v>
      </c>
      <c r="C264" t="str">
        <f t="shared" si="8"/>
        <v>Directed</v>
      </c>
      <c r="D264">
        <f t="shared" si="9"/>
        <v>263</v>
      </c>
      <c r="G264" t="str">
        <f>REPLACE(weight!P265,2,1,".")</f>
        <v>7.45454545454545</v>
      </c>
    </row>
    <row r="265" spans="1:7" x14ac:dyDescent="0.25">
      <c r="A265">
        <f>weight!A266</f>
        <v>264</v>
      </c>
      <c r="B265">
        <f>weight!E266</f>
        <v>259</v>
      </c>
      <c r="C265" t="str">
        <f t="shared" si="8"/>
        <v>Directed</v>
      </c>
      <c r="D265">
        <f t="shared" si="9"/>
        <v>264</v>
      </c>
      <c r="G265" t="str">
        <f>REPLACE(weight!P266,2,1,".")</f>
        <v>4.09090909090909</v>
      </c>
    </row>
    <row r="266" spans="1:7" x14ac:dyDescent="0.25">
      <c r="A266">
        <f>weight!A267</f>
        <v>265</v>
      </c>
      <c r="B266">
        <f>weight!E267</f>
        <v>247</v>
      </c>
      <c r="C266" t="str">
        <f t="shared" si="8"/>
        <v>Directed</v>
      </c>
      <c r="D266">
        <f t="shared" si="9"/>
        <v>265</v>
      </c>
      <c r="G266" t="str">
        <f>REPLACE(weight!P267,2,1,".")</f>
        <v>7.27272727272727</v>
      </c>
    </row>
    <row r="267" spans="1:7" x14ac:dyDescent="0.25">
      <c r="A267">
        <f>weight!A268</f>
        <v>266</v>
      </c>
      <c r="B267">
        <f>weight!E268</f>
        <v>0</v>
      </c>
      <c r="C267" t="str">
        <f t="shared" si="8"/>
        <v>Directed</v>
      </c>
      <c r="D267">
        <f t="shared" si="9"/>
        <v>266</v>
      </c>
      <c r="G267" t="str">
        <f>REPLACE(weight!P268,2,1,".")</f>
        <v>8.72727272727273</v>
      </c>
    </row>
    <row r="268" spans="1:7" x14ac:dyDescent="0.25">
      <c r="A268">
        <f>weight!A269</f>
        <v>267</v>
      </c>
      <c r="B268">
        <f>weight!E269</f>
        <v>266</v>
      </c>
      <c r="C268" t="str">
        <f t="shared" si="8"/>
        <v>Directed</v>
      </c>
      <c r="D268">
        <f t="shared" si="9"/>
        <v>267</v>
      </c>
      <c r="G268" t="str">
        <f>REPLACE(weight!P269,2,1,".")</f>
        <v>8.27272727272727</v>
      </c>
    </row>
    <row r="269" spans="1:7" x14ac:dyDescent="0.25">
      <c r="A269">
        <f>weight!A270</f>
        <v>268</v>
      </c>
      <c r="B269">
        <f>weight!E270</f>
        <v>267</v>
      </c>
      <c r="C269" t="str">
        <f t="shared" si="8"/>
        <v>Directed</v>
      </c>
      <c r="D269">
        <f t="shared" si="9"/>
        <v>268</v>
      </c>
      <c r="G269" t="str">
        <f>REPLACE(weight!P270,2,1,".")</f>
        <v>8.81818181818182</v>
      </c>
    </row>
    <row r="270" spans="1:7" x14ac:dyDescent="0.25">
      <c r="A270">
        <f>weight!A271</f>
        <v>269</v>
      </c>
      <c r="B270">
        <f>weight!E271</f>
        <v>267</v>
      </c>
      <c r="C270" t="str">
        <f t="shared" si="8"/>
        <v>Directed</v>
      </c>
      <c r="D270">
        <f t="shared" si="9"/>
        <v>269</v>
      </c>
      <c r="G270" t="str">
        <f>REPLACE(weight!P271,2,1,".")</f>
        <v>7.45454545454545</v>
      </c>
    </row>
    <row r="271" spans="1:7" x14ac:dyDescent="0.25">
      <c r="A271">
        <f>weight!A272</f>
        <v>270</v>
      </c>
      <c r="B271">
        <f>weight!E272</f>
        <v>266</v>
      </c>
      <c r="C271" t="str">
        <f t="shared" si="8"/>
        <v>Directed</v>
      </c>
      <c r="D271">
        <f t="shared" si="9"/>
        <v>270</v>
      </c>
      <c r="G271" t="str">
        <f>REPLACE(weight!P272,2,1,".")</f>
        <v>8.72727272727273</v>
      </c>
    </row>
    <row r="272" spans="1:7" x14ac:dyDescent="0.25">
      <c r="A272">
        <f>weight!A273</f>
        <v>271</v>
      </c>
      <c r="B272">
        <f>weight!E273</f>
        <v>270</v>
      </c>
      <c r="C272" t="str">
        <f t="shared" si="8"/>
        <v>Directed</v>
      </c>
      <c r="D272">
        <f t="shared" si="9"/>
        <v>271</v>
      </c>
      <c r="G272" t="str">
        <f>REPLACE(weight!P273,2,1,".")</f>
        <v>7.90909090909091</v>
      </c>
    </row>
    <row r="273" spans="1:7" x14ac:dyDescent="0.25">
      <c r="A273">
        <f>weight!A274</f>
        <v>272</v>
      </c>
      <c r="B273">
        <f>weight!E274</f>
        <v>270</v>
      </c>
      <c r="C273" t="str">
        <f t="shared" si="8"/>
        <v>Directed</v>
      </c>
      <c r="D273">
        <f t="shared" si="9"/>
        <v>272</v>
      </c>
      <c r="G273" t="str">
        <f>REPLACE(weight!P274,2,1,".")</f>
        <v>7.</v>
      </c>
    </row>
    <row r="274" spans="1:7" x14ac:dyDescent="0.25">
      <c r="A274">
        <f>weight!A275</f>
        <v>273</v>
      </c>
      <c r="B274">
        <f>weight!E275</f>
        <v>266</v>
      </c>
      <c r="C274" t="str">
        <f t="shared" si="8"/>
        <v>Directed</v>
      </c>
      <c r="D274">
        <f t="shared" si="9"/>
        <v>273</v>
      </c>
      <c r="G274" t="str">
        <f>REPLACE(weight!P275,2,1,".")</f>
        <v>8.81818181818182</v>
      </c>
    </row>
    <row r="275" spans="1:7" x14ac:dyDescent="0.25">
      <c r="A275">
        <f>weight!A276</f>
        <v>274</v>
      </c>
      <c r="B275">
        <f>weight!E276</f>
        <v>273</v>
      </c>
      <c r="C275" t="str">
        <f t="shared" si="8"/>
        <v>Directed</v>
      </c>
      <c r="D275">
        <f t="shared" si="9"/>
        <v>274</v>
      </c>
      <c r="G275" t="str">
        <f>REPLACE(weight!P276,2,1,".")</f>
        <v>8.63636363636364</v>
      </c>
    </row>
    <row r="276" spans="1:7" x14ac:dyDescent="0.25">
      <c r="A276">
        <f>weight!A277</f>
        <v>275</v>
      </c>
      <c r="B276">
        <f>weight!E277</f>
        <v>273</v>
      </c>
      <c r="C276" t="str">
        <f t="shared" si="8"/>
        <v>Directed</v>
      </c>
      <c r="D276">
        <f t="shared" si="9"/>
        <v>275</v>
      </c>
      <c r="G276" t="str">
        <f>REPLACE(weight!P277,2,1,".")</f>
        <v>7.18181818181818</v>
      </c>
    </row>
    <row r="277" spans="1:7" x14ac:dyDescent="0.25">
      <c r="A277">
        <f>weight!A278</f>
        <v>276</v>
      </c>
      <c r="B277">
        <f>weight!E278</f>
        <v>266</v>
      </c>
      <c r="C277" t="str">
        <f t="shared" si="8"/>
        <v>Directed</v>
      </c>
      <c r="D277">
        <f t="shared" si="9"/>
        <v>276</v>
      </c>
      <c r="G277" t="str">
        <f>REPLACE(weight!P278,2,1,".")</f>
        <v>7.54545454545455</v>
      </c>
    </row>
    <row r="278" spans="1:7" x14ac:dyDescent="0.25">
      <c r="A278">
        <f>weight!A279</f>
        <v>277</v>
      </c>
      <c r="B278">
        <f>weight!E279</f>
        <v>0</v>
      </c>
      <c r="C278" t="str">
        <f t="shared" si="8"/>
        <v>Directed</v>
      </c>
      <c r="D278">
        <f t="shared" si="9"/>
        <v>277</v>
      </c>
      <c r="G278" t="str">
        <f>REPLACE(weight!P279,2,1,".")</f>
        <v>5.54545454545455</v>
      </c>
    </row>
    <row r="279" spans="1:7" x14ac:dyDescent="0.25">
      <c r="A279">
        <f>weight!A280</f>
        <v>278</v>
      </c>
      <c r="B279">
        <f>weight!E280</f>
        <v>277</v>
      </c>
      <c r="C279" t="str">
        <f t="shared" si="8"/>
        <v>Directed</v>
      </c>
      <c r="D279">
        <f t="shared" si="9"/>
        <v>278</v>
      </c>
      <c r="G279" t="str">
        <f>REPLACE(weight!P280,2,1,".")</f>
        <v>8.90909090909091</v>
      </c>
    </row>
    <row r="280" spans="1:7" x14ac:dyDescent="0.25">
      <c r="A280">
        <f>weight!A281</f>
        <v>279</v>
      </c>
      <c r="B280">
        <f>weight!E281</f>
        <v>277</v>
      </c>
      <c r="C280" t="str">
        <f t="shared" si="8"/>
        <v>Directed</v>
      </c>
      <c r="D280">
        <f t="shared" si="9"/>
        <v>279</v>
      </c>
      <c r="G280" t="str">
        <f>REPLACE(weight!P281,2,1,".")</f>
        <v>7.</v>
      </c>
    </row>
    <row r="281" spans="1:7" x14ac:dyDescent="0.25">
      <c r="A281">
        <f>weight!A282</f>
        <v>280</v>
      </c>
      <c r="B281">
        <f>weight!E282</f>
        <v>277</v>
      </c>
      <c r="C281" t="str">
        <f t="shared" si="8"/>
        <v>Directed</v>
      </c>
      <c r="D281">
        <f t="shared" si="9"/>
        <v>280</v>
      </c>
      <c r="G281" t="str">
        <f>REPLACE(weight!P282,2,1,".")</f>
        <v>7.54545454545455</v>
      </c>
    </row>
    <row r="282" spans="1:7" x14ac:dyDescent="0.25">
      <c r="A282">
        <f>weight!A283</f>
        <v>281</v>
      </c>
      <c r="B282">
        <f>weight!E283</f>
        <v>277</v>
      </c>
      <c r="C282" t="str">
        <f t="shared" si="8"/>
        <v>Directed</v>
      </c>
      <c r="D282">
        <f t="shared" si="9"/>
        <v>281</v>
      </c>
      <c r="G282" t="str">
        <f>REPLACE(weight!P283,2,1,".")</f>
        <v>8.81818181818182</v>
      </c>
    </row>
    <row r="283" spans="1:7" x14ac:dyDescent="0.25">
      <c r="A283">
        <f>weight!A284</f>
        <v>282</v>
      </c>
      <c r="B283">
        <f>weight!E284</f>
        <v>277</v>
      </c>
      <c r="C283" t="str">
        <f t="shared" si="8"/>
        <v>Directed</v>
      </c>
      <c r="D283">
        <f t="shared" si="9"/>
        <v>282</v>
      </c>
      <c r="G283" t="str">
        <f>REPLACE(weight!P284,2,1,".")</f>
        <v>6.54545454545455</v>
      </c>
    </row>
    <row r="284" spans="1:7" x14ac:dyDescent="0.25">
      <c r="A284">
        <f>weight!A285</f>
        <v>283</v>
      </c>
      <c r="B284">
        <f>weight!E285</f>
        <v>0</v>
      </c>
      <c r="C284" t="str">
        <f t="shared" si="8"/>
        <v>Directed</v>
      </c>
      <c r="D284">
        <f t="shared" si="9"/>
        <v>283</v>
      </c>
      <c r="G284" t="str">
        <f>REPLACE(weight!P285,2,1,".")</f>
        <v>6.</v>
      </c>
    </row>
    <row r="285" spans="1:7" x14ac:dyDescent="0.25">
      <c r="A285">
        <f>weight!A286</f>
        <v>284</v>
      </c>
      <c r="B285">
        <f>weight!E286</f>
        <v>283</v>
      </c>
      <c r="C285" t="str">
        <f t="shared" si="8"/>
        <v>Directed</v>
      </c>
      <c r="D285">
        <f t="shared" si="9"/>
        <v>284</v>
      </c>
      <c r="G285" t="str">
        <f>REPLACE(weight!P286,2,1,".")</f>
        <v>7.81818181818182</v>
      </c>
    </row>
    <row r="286" spans="1:7" x14ac:dyDescent="0.25">
      <c r="A286">
        <f>weight!A287</f>
        <v>285</v>
      </c>
      <c r="B286">
        <f>weight!E287</f>
        <v>284</v>
      </c>
      <c r="C286" t="str">
        <f t="shared" si="8"/>
        <v>Directed</v>
      </c>
      <c r="D286">
        <f t="shared" si="9"/>
        <v>285</v>
      </c>
      <c r="G286" t="str">
        <f>REPLACE(weight!P287,2,1,".")</f>
        <v>9.09090909090909</v>
      </c>
    </row>
    <row r="287" spans="1:7" x14ac:dyDescent="0.25">
      <c r="A287">
        <f>weight!A288</f>
        <v>286</v>
      </c>
      <c r="B287">
        <f>weight!E288</f>
        <v>284</v>
      </c>
      <c r="C287" t="str">
        <f t="shared" si="8"/>
        <v>Directed</v>
      </c>
      <c r="D287">
        <f t="shared" si="9"/>
        <v>286</v>
      </c>
      <c r="G287" t="str">
        <f>REPLACE(weight!P288,2,1,".")</f>
        <v>9.09090909090909</v>
      </c>
    </row>
    <row r="288" spans="1:7" x14ac:dyDescent="0.25">
      <c r="A288">
        <f>weight!A289</f>
        <v>287</v>
      </c>
      <c r="B288">
        <f>weight!E289</f>
        <v>286</v>
      </c>
      <c r="C288" t="str">
        <f t="shared" si="8"/>
        <v>Directed</v>
      </c>
      <c r="D288">
        <f t="shared" si="9"/>
        <v>287</v>
      </c>
      <c r="G288" t="str">
        <f>REPLACE(weight!P289,2,1,".")</f>
        <v>9.27272727272727</v>
      </c>
    </row>
    <row r="289" spans="1:7" x14ac:dyDescent="0.25">
      <c r="A289">
        <f>weight!A290</f>
        <v>288</v>
      </c>
      <c r="B289">
        <f>weight!E290</f>
        <v>286</v>
      </c>
      <c r="C289" t="str">
        <f t="shared" si="8"/>
        <v>Directed</v>
      </c>
      <c r="D289">
        <f t="shared" si="9"/>
        <v>288</v>
      </c>
      <c r="G289" t="str">
        <f>REPLACE(weight!P290,2,1,".")</f>
        <v>7.90909090909091</v>
      </c>
    </row>
    <row r="290" spans="1:7" x14ac:dyDescent="0.25">
      <c r="A290">
        <f>weight!A291</f>
        <v>289</v>
      </c>
      <c r="B290">
        <f>weight!E291</f>
        <v>286</v>
      </c>
      <c r="C290" t="str">
        <f t="shared" si="8"/>
        <v>Directed</v>
      </c>
      <c r="D290">
        <f t="shared" si="9"/>
        <v>289</v>
      </c>
      <c r="G290" t="str">
        <f>REPLACE(weight!P291,2,1,".")</f>
        <v>8.18181818181818</v>
      </c>
    </row>
    <row r="291" spans="1:7" x14ac:dyDescent="0.25">
      <c r="A291">
        <f>weight!A292</f>
        <v>290</v>
      </c>
      <c r="B291">
        <f>weight!E292</f>
        <v>284</v>
      </c>
      <c r="C291" t="str">
        <f t="shared" si="8"/>
        <v>Directed</v>
      </c>
      <c r="D291">
        <f t="shared" si="9"/>
        <v>290</v>
      </c>
      <c r="G291" t="str">
        <f>REPLACE(weight!P292,2,1,".")</f>
        <v>6.90909090909091</v>
      </c>
    </row>
    <row r="292" spans="1:7" x14ac:dyDescent="0.25">
      <c r="A292">
        <f>weight!A293</f>
        <v>291</v>
      </c>
      <c r="B292">
        <f>weight!E293</f>
        <v>284</v>
      </c>
      <c r="C292" t="str">
        <f t="shared" si="8"/>
        <v>Directed</v>
      </c>
      <c r="D292">
        <f t="shared" si="9"/>
        <v>291</v>
      </c>
      <c r="G292" t="str">
        <f>REPLACE(weight!P293,2,1,".")</f>
        <v>6.45454545454545</v>
      </c>
    </row>
    <row r="293" spans="1:7" x14ac:dyDescent="0.25">
      <c r="A293">
        <f>weight!A294</f>
        <v>292</v>
      </c>
      <c r="B293">
        <f>weight!E294</f>
        <v>284</v>
      </c>
      <c r="C293" t="str">
        <f t="shared" si="8"/>
        <v>Directed</v>
      </c>
      <c r="D293">
        <f t="shared" si="9"/>
        <v>292</v>
      </c>
      <c r="G293" t="str">
        <f>REPLACE(weight!P294,2,1,".")</f>
        <v>6.27272727272727</v>
      </c>
    </row>
    <row r="294" spans="1:7" x14ac:dyDescent="0.25">
      <c r="A294">
        <f>weight!A295</f>
        <v>293</v>
      </c>
      <c r="B294">
        <f>weight!E295</f>
        <v>284</v>
      </c>
      <c r="C294" t="str">
        <f t="shared" si="8"/>
        <v>Directed</v>
      </c>
      <c r="D294">
        <f t="shared" si="9"/>
        <v>293</v>
      </c>
      <c r="G294" t="str">
        <f>REPLACE(weight!P295,2,1,".")</f>
        <v>5.90909090909091</v>
      </c>
    </row>
    <row r="295" spans="1:7" x14ac:dyDescent="0.25">
      <c r="A295">
        <f>weight!A296</f>
        <v>294</v>
      </c>
      <c r="B295">
        <f>weight!E296</f>
        <v>283</v>
      </c>
      <c r="C295" t="str">
        <f t="shared" si="8"/>
        <v>Directed</v>
      </c>
      <c r="D295">
        <f t="shared" si="9"/>
        <v>294</v>
      </c>
      <c r="G295" t="str">
        <f>REPLACE(weight!P296,2,1,".")</f>
        <v>8.36363636363636</v>
      </c>
    </row>
    <row r="296" spans="1:7" x14ac:dyDescent="0.25">
      <c r="A296">
        <f>weight!A297</f>
        <v>295</v>
      </c>
      <c r="B296">
        <f>weight!E297</f>
        <v>283</v>
      </c>
      <c r="C296" t="str">
        <f t="shared" si="8"/>
        <v>Directed</v>
      </c>
      <c r="D296">
        <f t="shared" si="9"/>
        <v>295</v>
      </c>
      <c r="G296" t="str">
        <f>REPLACE(weight!P297,2,1,".")</f>
        <v>8.18181818181818</v>
      </c>
    </row>
    <row r="297" spans="1:7" x14ac:dyDescent="0.25">
      <c r="A297">
        <f>weight!A298</f>
        <v>296</v>
      </c>
      <c r="B297">
        <f>weight!E298</f>
        <v>0</v>
      </c>
      <c r="C297" t="str">
        <f t="shared" si="8"/>
        <v>Directed</v>
      </c>
      <c r="D297">
        <f t="shared" si="9"/>
        <v>296</v>
      </c>
      <c r="G297" t="str">
        <f>REPLACE(weight!P298,2,1,".")</f>
        <v>5.63636363636364</v>
      </c>
    </row>
    <row r="298" spans="1:7" x14ac:dyDescent="0.25">
      <c r="A298">
        <f>weight!A299</f>
        <v>297</v>
      </c>
      <c r="B298">
        <f>weight!E299</f>
        <v>296</v>
      </c>
      <c r="C298" t="str">
        <f t="shared" si="8"/>
        <v>Directed</v>
      </c>
      <c r="D298">
        <f t="shared" si="9"/>
        <v>297</v>
      </c>
      <c r="G298" t="str">
        <f>REPLACE(weight!P299,2,1,".")</f>
        <v>9.45454545454546</v>
      </c>
    </row>
    <row r="299" spans="1:7" x14ac:dyDescent="0.25">
      <c r="A299">
        <f>weight!A300</f>
        <v>298</v>
      </c>
      <c r="B299">
        <f>weight!E300</f>
        <v>297</v>
      </c>
      <c r="C299" t="str">
        <f t="shared" si="8"/>
        <v>Directed</v>
      </c>
      <c r="D299">
        <f t="shared" si="9"/>
        <v>298</v>
      </c>
      <c r="G299" t="str">
        <f>REPLACE(weight!P300,2,1,".")</f>
        <v>8.45454545454546</v>
      </c>
    </row>
    <row r="300" spans="1:7" x14ac:dyDescent="0.25">
      <c r="A300">
        <f>weight!A301</f>
        <v>299</v>
      </c>
      <c r="B300">
        <f>weight!E301</f>
        <v>297</v>
      </c>
      <c r="C300" t="str">
        <f t="shared" si="8"/>
        <v>Directed</v>
      </c>
      <c r="D300">
        <f t="shared" si="9"/>
        <v>299</v>
      </c>
      <c r="G300" t="str">
        <f>REPLACE(weight!P301,2,1,".")</f>
        <v>9.09090909090909</v>
      </c>
    </row>
    <row r="301" spans="1:7" x14ac:dyDescent="0.25">
      <c r="A301">
        <f>weight!A302</f>
        <v>300</v>
      </c>
      <c r="B301">
        <f>weight!E302</f>
        <v>297</v>
      </c>
      <c r="C301" t="str">
        <f t="shared" si="8"/>
        <v>Directed</v>
      </c>
      <c r="D301">
        <f t="shared" si="9"/>
        <v>300</v>
      </c>
      <c r="G301" t="str">
        <f>REPLACE(weight!P302,2,1,".")</f>
        <v>7.</v>
      </c>
    </row>
    <row r="302" spans="1:7" x14ac:dyDescent="0.25">
      <c r="A302">
        <f>weight!A303</f>
        <v>301</v>
      </c>
      <c r="B302">
        <f>weight!E303</f>
        <v>296</v>
      </c>
      <c r="C302" t="str">
        <f t="shared" si="8"/>
        <v>Directed</v>
      </c>
      <c r="D302">
        <f t="shared" si="9"/>
        <v>301</v>
      </c>
      <c r="G302" t="str">
        <f>REPLACE(weight!P303,2,1,".")</f>
        <v>9.81818181818182</v>
      </c>
    </row>
    <row r="303" spans="1:7" x14ac:dyDescent="0.25">
      <c r="A303">
        <f>weight!A304</f>
        <v>302</v>
      </c>
      <c r="B303">
        <f>weight!E304</f>
        <v>0</v>
      </c>
      <c r="C303" t="str">
        <f t="shared" si="8"/>
        <v>Directed</v>
      </c>
      <c r="D303">
        <f t="shared" si="9"/>
        <v>302</v>
      </c>
      <c r="G303" t="str">
        <f>REPLACE(weight!P304,2,1,".")</f>
        <v>4.72727272727273</v>
      </c>
    </row>
    <row r="304" spans="1:7" x14ac:dyDescent="0.25">
      <c r="A304">
        <f>weight!A305</f>
        <v>303</v>
      </c>
      <c r="B304">
        <f>weight!E305</f>
        <v>302</v>
      </c>
      <c r="C304" t="str">
        <f t="shared" si="8"/>
        <v>Directed</v>
      </c>
      <c r="D304">
        <f t="shared" si="9"/>
        <v>303</v>
      </c>
      <c r="G304" t="str">
        <f>REPLACE(weight!P305,2,1,".")</f>
        <v>7.54545454545455</v>
      </c>
    </row>
    <row r="305" spans="1:7" x14ac:dyDescent="0.25">
      <c r="A305">
        <f>weight!A306</f>
        <v>304</v>
      </c>
      <c r="B305">
        <f>weight!E306</f>
        <v>302</v>
      </c>
      <c r="C305" t="str">
        <f t="shared" si="8"/>
        <v>Directed</v>
      </c>
      <c r="D305">
        <f t="shared" si="9"/>
        <v>304</v>
      </c>
      <c r="G305" t="str">
        <f>REPLACE(weight!P306,2,1,".")</f>
        <v>8.81818181818182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>
    <tabColor rgb="FFFF0000"/>
  </sheetPr>
  <dimension ref="A1:AA306"/>
  <sheetViews>
    <sheetView workbookViewId="0">
      <pane xSplit="4" ySplit="1" topLeftCell="L2" activePane="bottomRight" state="frozen"/>
      <selection activeCell="F23" sqref="F23"/>
      <selection pane="topRight" activeCell="F23" sqref="F23"/>
      <selection pane="bottomLeft" activeCell="F23" sqref="F23"/>
      <selection pane="bottomRight" activeCell="AA3" sqref="AA3"/>
    </sheetView>
  </sheetViews>
  <sheetFormatPr defaultRowHeight="15" x14ac:dyDescent="0.25"/>
  <cols>
    <col min="1" max="1" width="5" customWidth="1"/>
    <col min="3" max="3" width="7.85546875" bestFit="1" customWidth="1"/>
    <col min="4" max="4" width="7.42578125" style="3" bestFit="1" customWidth="1"/>
    <col min="5" max="5" width="5.85546875" customWidth="1"/>
    <col min="6" max="6" width="4" customWidth="1"/>
    <col min="7" max="7" width="9" style="1" customWidth="1"/>
    <col min="8" max="8" width="8.85546875" style="1" customWidth="1"/>
    <col min="9" max="9" width="9.42578125" customWidth="1"/>
    <col min="10" max="10" width="98.7109375" customWidth="1"/>
    <col min="13" max="13" width="6" customWidth="1"/>
    <col min="14" max="14" width="7.5703125" customWidth="1"/>
    <col min="18" max="20" width="6.5703125" customWidth="1"/>
    <col min="21" max="27" width="6.140625" customWidth="1"/>
  </cols>
  <sheetData>
    <row r="1" spans="1:27" x14ac:dyDescent="0.25">
      <c r="A1" t="s">
        <v>0</v>
      </c>
      <c r="B1" t="s">
        <v>1</v>
      </c>
      <c r="C1" t="s">
        <v>2</v>
      </c>
      <c r="D1" s="3" t="s">
        <v>4</v>
      </c>
      <c r="E1" t="s">
        <v>3</v>
      </c>
      <c r="F1" t="s">
        <v>5</v>
      </c>
      <c r="G1" s="2" t="s">
        <v>85</v>
      </c>
      <c r="H1" s="2" t="s">
        <v>84</v>
      </c>
      <c r="L1" t="s">
        <v>311</v>
      </c>
      <c r="P1" s="15" t="s">
        <v>315</v>
      </c>
      <c r="Q1" s="12" t="s">
        <v>314</v>
      </c>
      <c r="R1" s="12">
        <v>1</v>
      </c>
      <c r="S1" s="12">
        <v>2</v>
      </c>
      <c r="T1" s="12">
        <v>3</v>
      </c>
      <c r="U1" s="12">
        <v>4</v>
      </c>
      <c r="V1" s="12">
        <v>5</v>
      </c>
      <c r="W1" s="12">
        <v>6</v>
      </c>
      <c r="X1" s="12">
        <v>7</v>
      </c>
      <c r="Y1" s="12">
        <v>8</v>
      </c>
      <c r="Z1" s="12">
        <v>9</v>
      </c>
      <c r="AA1" s="12">
        <v>10</v>
      </c>
    </row>
    <row r="2" spans="1:27" x14ac:dyDescent="0.25">
      <c r="A2">
        <v>0</v>
      </c>
      <c r="B2" t="str">
        <f t="shared" ref="B2:B4" si="0">Метка(I2)</f>
        <v>0</v>
      </c>
      <c r="F2">
        <f t="shared" ref="F2:F65" si="1">LEN(I2)</f>
        <v>1</v>
      </c>
      <c r="H2" s="1">
        <v>0</v>
      </c>
      <c r="I2">
        <v>0</v>
      </c>
      <c r="L2" s="1" t="s">
        <v>312</v>
      </c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</row>
    <row r="3" spans="1:27" x14ac:dyDescent="0.25">
      <c r="A3">
        <v>1</v>
      </c>
      <c r="B3" t="str">
        <f t="shared" si="0"/>
        <v>1</v>
      </c>
      <c r="D3" s="8">
        <v>9</v>
      </c>
      <c r="E3">
        <f t="shared" ref="E3:E66" si="2">MATCH(G3,I$2:I$306,0)-1</f>
        <v>0</v>
      </c>
      <c r="F3">
        <f t="shared" si="1"/>
        <v>1</v>
      </c>
      <c r="G3" s="1">
        <f t="shared" ref="G3:G66" si="3">IFERROR(LEFT(I3,LEN(I3)-2-N3),0)</f>
        <v>0</v>
      </c>
      <c r="H3" s="1">
        <f>ROUNDUP(F3/2,0)</f>
        <v>1</v>
      </c>
      <c r="I3" t="str">
        <f t="shared" ref="I3:I19" si="4">LEFT(J3,L3-1)</f>
        <v>1</v>
      </c>
      <c r="J3" t="s">
        <v>104</v>
      </c>
      <c r="L3" s="1">
        <f t="shared" ref="L3:L18" si="5">IFERROR(SEARCH(L$2,J3),SEARCH(". ",J3))</f>
        <v>2</v>
      </c>
      <c r="M3" s="1">
        <f t="shared" ref="M3:M66" si="6">IFERROR(LEFT(I3,LEN(I3)-2),0)</f>
        <v>0</v>
      </c>
      <c r="N3">
        <f t="shared" ref="N3:N66" si="7">IF(RIGHT(M3)=".",1,0)</f>
        <v>0</v>
      </c>
      <c r="P3" s="13">
        <f>AVERAGE(D3,R3:AA3)</f>
        <v>8.2727272727272734</v>
      </c>
      <c r="R3">
        <v>8</v>
      </c>
      <c r="S3">
        <v>10</v>
      </c>
      <c r="T3">
        <v>3</v>
      </c>
      <c r="U3">
        <v>9</v>
      </c>
      <c r="V3">
        <v>4</v>
      </c>
      <c r="W3">
        <v>10</v>
      </c>
      <c r="X3">
        <v>9</v>
      </c>
      <c r="Y3">
        <v>9</v>
      </c>
      <c r="Z3">
        <v>10</v>
      </c>
      <c r="AA3">
        <v>10</v>
      </c>
    </row>
    <row r="4" spans="1:27" x14ac:dyDescent="0.25">
      <c r="A4">
        <v>2</v>
      </c>
      <c r="B4" t="str">
        <f t="shared" si="0"/>
        <v>1a</v>
      </c>
      <c r="D4" s="9">
        <v>10</v>
      </c>
      <c r="E4">
        <f t="shared" si="2"/>
        <v>1</v>
      </c>
      <c r="F4">
        <f t="shared" si="1"/>
        <v>3</v>
      </c>
      <c r="G4" s="1" t="str">
        <f t="shared" si="3"/>
        <v>1</v>
      </c>
      <c r="H4" s="1">
        <f t="shared" ref="H4:H18" si="8">ROUNDUP(F4/2,0)</f>
        <v>2</v>
      </c>
      <c r="I4" t="str">
        <f t="shared" si="4"/>
        <v>1.1</v>
      </c>
      <c r="J4" t="s">
        <v>6</v>
      </c>
      <c r="L4" s="1">
        <f t="shared" si="5"/>
        <v>4</v>
      </c>
      <c r="M4" s="1" t="str">
        <f t="shared" si="6"/>
        <v>1</v>
      </c>
      <c r="N4">
        <f t="shared" si="7"/>
        <v>0</v>
      </c>
      <c r="P4" s="13">
        <f t="shared" ref="P4:P67" si="9">AVERAGE(D4,R4:AA4)</f>
        <v>9</v>
      </c>
      <c r="R4">
        <v>10</v>
      </c>
      <c r="S4">
        <v>9</v>
      </c>
      <c r="T4">
        <v>10</v>
      </c>
      <c r="U4">
        <v>10</v>
      </c>
      <c r="V4">
        <v>7</v>
      </c>
      <c r="W4">
        <v>9</v>
      </c>
      <c r="X4">
        <v>8</v>
      </c>
      <c r="Y4">
        <v>10</v>
      </c>
      <c r="Z4">
        <v>6</v>
      </c>
      <c r="AA4">
        <v>10</v>
      </c>
    </row>
    <row r="5" spans="1:27" x14ac:dyDescent="0.25">
      <c r="A5">
        <v>3</v>
      </c>
      <c r="B5" t="str">
        <f>Метка(I5)</f>
        <v>1a1</v>
      </c>
      <c r="D5" s="10">
        <v>9</v>
      </c>
      <c r="E5">
        <f t="shared" si="2"/>
        <v>2</v>
      </c>
      <c r="F5">
        <f t="shared" si="1"/>
        <v>5</v>
      </c>
      <c r="G5" s="1" t="str">
        <f t="shared" si="3"/>
        <v>1.1</v>
      </c>
      <c r="H5" s="1">
        <f t="shared" si="8"/>
        <v>3</v>
      </c>
      <c r="I5" t="str">
        <f t="shared" si="4"/>
        <v>1.1.1</v>
      </c>
      <c r="J5" t="s">
        <v>625</v>
      </c>
      <c r="L5" s="1">
        <f t="shared" si="5"/>
        <v>6</v>
      </c>
      <c r="M5" s="1" t="str">
        <f t="shared" si="6"/>
        <v>1.1</v>
      </c>
      <c r="N5">
        <f t="shared" si="7"/>
        <v>0</v>
      </c>
      <c r="P5" s="13">
        <f t="shared" si="9"/>
        <v>8.6363636363636367</v>
      </c>
      <c r="R5">
        <v>10</v>
      </c>
      <c r="S5">
        <v>8</v>
      </c>
      <c r="T5">
        <v>9</v>
      </c>
      <c r="U5">
        <v>9</v>
      </c>
      <c r="V5">
        <v>7</v>
      </c>
      <c r="W5">
        <v>9</v>
      </c>
      <c r="X5">
        <v>9</v>
      </c>
      <c r="Y5">
        <v>10</v>
      </c>
      <c r="Z5">
        <v>7</v>
      </c>
      <c r="AA5">
        <v>8</v>
      </c>
    </row>
    <row r="6" spans="1:27" x14ac:dyDescent="0.25">
      <c r="A6">
        <v>4</v>
      </c>
      <c r="B6" t="str">
        <f t="shared" ref="B6:B69" si="10">Метка(I6)</f>
        <v>1a1a</v>
      </c>
      <c r="D6" s="3">
        <v>10</v>
      </c>
      <c r="E6">
        <f t="shared" si="2"/>
        <v>3</v>
      </c>
      <c r="F6">
        <f t="shared" si="1"/>
        <v>7</v>
      </c>
      <c r="G6" s="1" t="str">
        <f t="shared" si="3"/>
        <v>1.1.1</v>
      </c>
      <c r="H6" s="1">
        <f t="shared" si="8"/>
        <v>4</v>
      </c>
      <c r="I6" t="str">
        <f t="shared" si="4"/>
        <v>1.1.1.1</v>
      </c>
      <c r="J6" t="s">
        <v>7</v>
      </c>
      <c r="L6" s="1">
        <f t="shared" si="5"/>
        <v>8</v>
      </c>
      <c r="M6" s="1" t="str">
        <f t="shared" si="6"/>
        <v>1.1.1</v>
      </c>
      <c r="N6">
        <f t="shared" si="7"/>
        <v>0</v>
      </c>
      <c r="P6" s="13">
        <f t="shared" si="9"/>
        <v>9.6363636363636367</v>
      </c>
      <c r="R6">
        <v>10</v>
      </c>
      <c r="S6">
        <v>10</v>
      </c>
      <c r="T6">
        <v>8</v>
      </c>
      <c r="U6">
        <v>10</v>
      </c>
      <c r="V6">
        <v>10</v>
      </c>
      <c r="W6">
        <v>10</v>
      </c>
      <c r="X6">
        <v>10</v>
      </c>
      <c r="Y6">
        <v>9</v>
      </c>
      <c r="Z6">
        <v>9</v>
      </c>
      <c r="AA6">
        <v>10</v>
      </c>
    </row>
    <row r="7" spans="1:27" x14ac:dyDescent="0.25">
      <c r="A7">
        <v>5</v>
      </c>
      <c r="B7" t="str">
        <f t="shared" si="10"/>
        <v>1a1b</v>
      </c>
      <c r="D7" s="3">
        <v>9</v>
      </c>
      <c r="E7">
        <f t="shared" si="2"/>
        <v>3</v>
      </c>
      <c r="F7">
        <f t="shared" si="1"/>
        <v>7</v>
      </c>
      <c r="G7" s="1" t="str">
        <f t="shared" si="3"/>
        <v>1.1.1</v>
      </c>
      <c r="H7" s="1">
        <f t="shared" si="8"/>
        <v>4</v>
      </c>
      <c r="I7" t="str">
        <f t="shared" si="4"/>
        <v>1.1.1.2</v>
      </c>
      <c r="J7" t="s">
        <v>8</v>
      </c>
      <c r="L7" s="1">
        <f t="shared" si="5"/>
        <v>8</v>
      </c>
      <c r="M7" s="1" t="str">
        <f t="shared" si="6"/>
        <v>1.1.1</v>
      </c>
      <c r="N7">
        <f t="shared" si="7"/>
        <v>0</v>
      </c>
      <c r="P7" s="13">
        <f t="shared" si="9"/>
        <v>8.2727272727272734</v>
      </c>
      <c r="R7">
        <v>9</v>
      </c>
      <c r="S7">
        <v>7</v>
      </c>
      <c r="T7">
        <v>10</v>
      </c>
      <c r="U7">
        <v>9</v>
      </c>
      <c r="V7">
        <v>7</v>
      </c>
      <c r="W7">
        <v>10</v>
      </c>
      <c r="X7">
        <v>8</v>
      </c>
      <c r="Y7">
        <v>10</v>
      </c>
      <c r="Z7">
        <v>4</v>
      </c>
      <c r="AA7">
        <v>8</v>
      </c>
    </row>
    <row r="8" spans="1:27" x14ac:dyDescent="0.25">
      <c r="A8">
        <v>6</v>
      </c>
      <c r="B8" t="str">
        <f t="shared" si="10"/>
        <v>1a1c</v>
      </c>
      <c r="D8" s="3">
        <v>9</v>
      </c>
      <c r="E8">
        <f t="shared" si="2"/>
        <v>3</v>
      </c>
      <c r="F8">
        <f t="shared" si="1"/>
        <v>7</v>
      </c>
      <c r="G8" s="1" t="str">
        <f t="shared" si="3"/>
        <v>1.1.1</v>
      </c>
      <c r="H8" s="1">
        <f t="shared" si="8"/>
        <v>4</v>
      </c>
      <c r="I8" t="str">
        <f t="shared" si="4"/>
        <v>1.1.1.3</v>
      </c>
      <c r="J8" t="s">
        <v>9</v>
      </c>
      <c r="L8" s="1">
        <f t="shared" si="5"/>
        <v>8</v>
      </c>
      <c r="M8" s="1" t="str">
        <f t="shared" si="6"/>
        <v>1.1.1</v>
      </c>
      <c r="N8">
        <f t="shared" si="7"/>
        <v>0</v>
      </c>
      <c r="P8" s="13">
        <f t="shared" si="9"/>
        <v>8.9090909090909083</v>
      </c>
      <c r="R8">
        <v>7</v>
      </c>
      <c r="S8">
        <v>9</v>
      </c>
      <c r="T8">
        <v>9</v>
      </c>
      <c r="U8">
        <v>8</v>
      </c>
      <c r="V8">
        <v>9</v>
      </c>
      <c r="W8">
        <v>8</v>
      </c>
      <c r="X8">
        <v>10</v>
      </c>
      <c r="Y8">
        <v>9</v>
      </c>
      <c r="Z8">
        <v>10</v>
      </c>
      <c r="AA8">
        <v>10</v>
      </c>
    </row>
    <row r="9" spans="1:27" x14ac:dyDescent="0.25">
      <c r="A9">
        <v>7</v>
      </c>
      <c r="B9" t="str">
        <f t="shared" si="10"/>
        <v>1a1d</v>
      </c>
      <c r="D9" s="3">
        <v>8</v>
      </c>
      <c r="E9">
        <f t="shared" si="2"/>
        <v>3</v>
      </c>
      <c r="F9">
        <f t="shared" si="1"/>
        <v>7</v>
      </c>
      <c r="G9" s="1" t="str">
        <f t="shared" si="3"/>
        <v>1.1.1</v>
      </c>
      <c r="H9" s="1">
        <f t="shared" si="8"/>
        <v>4</v>
      </c>
      <c r="I9" t="str">
        <f t="shared" si="4"/>
        <v>1.1.1.4</v>
      </c>
      <c r="J9" t="s">
        <v>105</v>
      </c>
      <c r="L9" s="1">
        <f t="shared" si="5"/>
        <v>8</v>
      </c>
      <c r="M9" s="1" t="str">
        <f t="shared" si="6"/>
        <v>1.1.1</v>
      </c>
      <c r="N9">
        <f t="shared" si="7"/>
        <v>0</v>
      </c>
      <c r="P9" s="13">
        <f t="shared" si="9"/>
        <v>9.0909090909090917</v>
      </c>
      <c r="R9">
        <v>7</v>
      </c>
      <c r="S9">
        <v>10</v>
      </c>
      <c r="T9">
        <v>9</v>
      </c>
      <c r="U9">
        <v>8</v>
      </c>
      <c r="V9">
        <v>8</v>
      </c>
      <c r="W9">
        <v>10</v>
      </c>
      <c r="X9">
        <v>10</v>
      </c>
      <c r="Y9">
        <v>10</v>
      </c>
      <c r="Z9">
        <v>10</v>
      </c>
      <c r="AA9">
        <v>10</v>
      </c>
    </row>
    <row r="10" spans="1:27" x14ac:dyDescent="0.25">
      <c r="A10">
        <v>8</v>
      </c>
      <c r="B10" t="str">
        <f t="shared" si="10"/>
        <v>1a1e</v>
      </c>
      <c r="D10" s="3">
        <v>7</v>
      </c>
      <c r="E10">
        <f t="shared" si="2"/>
        <v>3</v>
      </c>
      <c r="F10">
        <f t="shared" si="1"/>
        <v>7</v>
      </c>
      <c r="G10" s="1" t="str">
        <f t="shared" si="3"/>
        <v>1.1.1</v>
      </c>
      <c r="H10" s="1">
        <f t="shared" si="8"/>
        <v>4</v>
      </c>
      <c r="I10" t="str">
        <f t="shared" si="4"/>
        <v>1.1.1.5</v>
      </c>
      <c r="J10" t="s">
        <v>106</v>
      </c>
      <c r="L10" s="1">
        <f t="shared" si="5"/>
        <v>8</v>
      </c>
      <c r="M10" s="1" t="str">
        <f t="shared" si="6"/>
        <v>1.1.1</v>
      </c>
      <c r="N10">
        <f t="shared" si="7"/>
        <v>0</v>
      </c>
      <c r="P10" s="13">
        <f t="shared" si="9"/>
        <v>7</v>
      </c>
      <c r="R10">
        <v>7</v>
      </c>
      <c r="S10">
        <v>8</v>
      </c>
      <c r="T10">
        <v>4</v>
      </c>
      <c r="U10">
        <v>8</v>
      </c>
      <c r="V10">
        <v>5</v>
      </c>
      <c r="W10">
        <v>6</v>
      </c>
      <c r="X10">
        <v>8</v>
      </c>
      <c r="Y10">
        <v>8</v>
      </c>
      <c r="Z10">
        <v>10</v>
      </c>
      <c r="AA10">
        <v>6</v>
      </c>
    </row>
    <row r="11" spans="1:27" x14ac:dyDescent="0.25">
      <c r="A11">
        <v>9</v>
      </c>
      <c r="B11" t="str">
        <f t="shared" si="10"/>
        <v>1a2</v>
      </c>
      <c r="D11" s="10">
        <v>9</v>
      </c>
      <c r="E11">
        <f t="shared" si="2"/>
        <v>2</v>
      </c>
      <c r="F11">
        <f t="shared" si="1"/>
        <v>5</v>
      </c>
      <c r="G11" s="1" t="str">
        <f t="shared" si="3"/>
        <v>1.1</v>
      </c>
      <c r="H11" s="1">
        <f t="shared" si="8"/>
        <v>3</v>
      </c>
      <c r="I11" t="str">
        <f t="shared" si="4"/>
        <v>1.1.2</v>
      </c>
      <c r="J11" t="s">
        <v>10</v>
      </c>
      <c r="L11" s="1">
        <f t="shared" si="5"/>
        <v>6</v>
      </c>
      <c r="M11" s="1" t="str">
        <f t="shared" si="6"/>
        <v>1.1</v>
      </c>
      <c r="N11">
        <f t="shared" si="7"/>
        <v>0</v>
      </c>
      <c r="P11" s="13">
        <f t="shared" si="9"/>
        <v>8.454545454545455</v>
      </c>
      <c r="R11">
        <v>8</v>
      </c>
      <c r="S11">
        <v>10</v>
      </c>
      <c r="T11">
        <v>6</v>
      </c>
      <c r="U11">
        <v>8</v>
      </c>
      <c r="V11">
        <v>6</v>
      </c>
      <c r="W11">
        <v>8</v>
      </c>
      <c r="X11">
        <v>9</v>
      </c>
      <c r="Y11">
        <v>9</v>
      </c>
      <c r="Z11">
        <v>10</v>
      </c>
      <c r="AA11">
        <v>10</v>
      </c>
    </row>
    <row r="12" spans="1:27" x14ac:dyDescent="0.25">
      <c r="A12">
        <v>10</v>
      </c>
      <c r="B12" t="str">
        <f t="shared" si="10"/>
        <v>1a2a</v>
      </c>
      <c r="D12" s="3">
        <v>9</v>
      </c>
      <c r="E12">
        <f t="shared" si="2"/>
        <v>9</v>
      </c>
      <c r="F12">
        <f t="shared" si="1"/>
        <v>7</v>
      </c>
      <c r="G12" s="1" t="str">
        <f t="shared" si="3"/>
        <v>1.1.2</v>
      </c>
      <c r="H12" s="1">
        <f t="shared" si="8"/>
        <v>4</v>
      </c>
      <c r="I12" t="str">
        <f t="shared" si="4"/>
        <v>1.1.2.1</v>
      </c>
      <c r="J12" t="s">
        <v>107</v>
      </c>
      <c r="L12" s="1">
        <f t="shared" si="5"/>
        <v>8</v>
      </c>
      <c r="M12" s="1" t="str">
        <f t="shared" si="6"/>
        <v>1.1.2</v>
      </c>
      <c r="N12">
        <f t="shared" si="7"/>
        <v>0</v>
      </c>
      <c r="P12" s="13">
        <f t="shared" si="9"/>
        <v>8.2727272727272734</v>
      </c>
      <c r="R12">
        <v>9</v>
      </c>
      <c r="S12">
        <v>7</v>
      </c>
      <c r="T12">
        <v>7</v>
      </c>
      <c r="U12">
        <v>9</v>
      </c>
      <c r="V12">
        <v>7</v>
      </c>
      <c r="W12">
        <v>8</v>
      </c>
      <c r="X12">
        <v>10</v>
      </c>
      <c r="Y12">
        <v>7</v>
      </c>
      <c r="Z12">
        <v>9</v>
      </c>
      <c r="AA12">
        <v>9</v>
      </c>
    </row>
    <row r="13" spans="1:27" x14ac:dyDescent="0.25">
      <c r="A13">
        <v>11</v>
      </c>
      <c r="B13" t="str">
        <f t="shared" si="10"/>
        <v>1a2b</v>
      </c>
      <c r="D13" s="3">
        <v>7</v>
      </c>
      <c r="E13">
        <f t="shared" si="2"/>
        <v>9</v>
      </c>
      <c r="F13">
        <f t="shared" si="1"/>
        <v>7</v>
      </c>
      <c r="G13" s="1" t="str">
        <f t="shared" si="3"/>
        <v>1.1.2</v>
      </c>
      <c r="H13" s="1">
        <f t="shared" si="8"/>
        <v>4</v>
      </c>
      <c r="I13" t="str">
        <f t="shared" si="4"/>
        <v>1.1.2.2</v>
      </c>
      <c r="J13" t="s">
        <v>108</v>
      </c>
      <c r="L13" s="1">
        <f t="shared" si="5"/>
        <v>8</v>
      </c>
      <c r="M13" s="1" t="str">
        <f t="shared" si="6"/>
        <v>1.1.2</v>
      </c>
      <c r="N13">
        <f t="shared" si="7"/>
        <v>0</v>
      </c>
      <c r="P13" s="13">
        <f t="shared" si="9"/>
        <v>6.5454545454545459</v>
      </c>
      <c r="R13">
        <v>7</v>
      </c>
      <c r="S13">
        <v>8</v>
      </c>
      <c r="T13">
        <v>5</v>
      </c>
      <c r="U13">
        <v>6</v>
      </c>
      <c r="V13">
        <v>6</v>
      </c>
      <c r="W13">
        <v>6</v>
      </c>
      <c r="X13">
        <v>8</v>
      </c>
      <c r="Y13">
        <v>7</v>
      </c>
      <c r="Z13">
        <v>6</v>
      </c>
      <c r="AA13">
        <v>6</v>
      </c>
    </row>
    <row r="14" spans="1:27" x14ac:dyDescent="0.25">
      <c r="A14">
        <v>12</v>
      </c>
      <c r="B14" t="str">
        <f t="shared" si="10"/>
        <v>1a2c</v>
      </c>
      <c r="C14">
        <v>2</v>
      </c>
      <c r="D14" s="3">
        <v>9</v>
      </c>
      <c r="E14">
        <f t="shared" si="2"/>
        <v>9</v>
      </c>
      <c r="F14">
        <f t="shared" si="1"/>
        <v>7</v>
      </c>
      <c r="G14" s="1" t="str">
        <f t="shared" si="3"/>
        <v>1.1.2</v>
      </c>
      <c r="H14" s="1">
        <f t="shared" si="8"/>
        <v>4</v>
      </c>
      <c r="I14" t="str">
        <f t="shared" si="4"/>
        <v>1.1.2.3</v>
      </c>
      <c r="J14" t="s">
        <v>109</v>
      </c>
      <c r="L14" s="1">
        <f t="shared" si="5"/>
        <v>8</v>
      </c>
      <c r="M14" s="1" t="str">
        <f t="shared" si="6"/>
        <v>1.1.2</v>
      </c>
      <c r="N14">
        <f t="shared" si="7"/>
        <v>0</v>
      </c>
      <c r="P14" s="13">
        <f t="shared" si="9"/>
        <v>9.454545454545455</v>
      </c>
      <c r="R14">
        <v>10</v>
      </c>
      <c r="S14">
        <v>10</v>
      </c>
      <c r="T14">
        <v>9</v>
      </c>
      <c r="U14">
        <v>9</v>
      </c>
      <c r="V14">
        <v>10</v>
      </c>
      <c r="W14">
        <v>10</v>
      </c>
      <c r="X14">
        <v>8</v>
      </c>
      <c r="Y14">
        <v>9</v>
      </c>
      <c r="Z14">
        <v>10</v>
      </c>
      <c r="AA14">
        <v>10</v>
      </c>
    </row>
    <row r="15" spans="1:27" x14ac:dyDescent="0.25">
      <c r="A15">
        <v>13</v>
      </c>
      <c r="B15" t="str">
        <f t="shared" si="10"/>
        <v>1a2d</v>
      </c>
      <c r="C15">
        <v>1</v>
      </c>
      <c r="D15" s="3">
        <v>7</v>
      </c>
      <c r="E15">
        <f t="shared" si="2"/>
        <v>9</v>
      </c>
      <c r="F15">
        <f t="shared" si="1"/>
        <v>7</v>
      </c>
      <c r="G15" s="1" t="str">
        <f t="shared" si="3"/>
        <v>1.1.2</v>
      </c>
      <c r="H15" s="1">
        <f t="shared" si="8"/>
        <v>4</v>
      </c>
      <c r="I15" t="str">
        <f t="shared" si="4"/>
        <v>1.1.2.4</v>
      </c>
      <c r="J15" t="s">
        <v>110</v>
      </c>
      <c r="L15" s="1">
        <f t="shared" si="5"/>
        <v>8</v>
      </c>
      <c r="M15" s="1" t="str">
        <f t="shared" si="6"/>
        <v>1.1.2</v>
      </c>
      <c r="N15">
        <f t="shared" si="7"/>
        <v>0</v>
      </c>
      <c r="P15" s="13">
        <f t="shared" si="9"/>
        <v>7.8181818181818183</v>
      </c>
      <c r="R15">
        <v>7</v>
      </c>
      <c r="S15">
        <v>9</v>
      </c>
      <c r="T15">
        <v>1</v>
      </c>
      <c r="U15">
        <v>7</v>
      </c>
      <c r="V15">
        <v>10</v>
      </c>
      <c r="W15">
        <v>9</v>
      </c>
      <c r="X15">
        <v>10</v>
      </c>
      <c r="Y15">
        <v>7</v>
      </c>
      <c r="Z15">
        <v>10</v>
      </c>
      <c r="AA15">
        <v>9</v>
      </c>
    </row>
    <row r="16" spans="1:27" x14ac:dyDescent="0.25">
      <c r="A16">
        <v>14</v>
      </c>
      <c r="B16" t="str">
        <f t="shared" si="10"/>
        <v>1a2e</v>
      </c>
      <c r="D16" s="3">
        <v>6</v>
      </c>
      <c r="E16">
        <f t="shared" si="2"/>
        <v>9</v>
      </c>
      <c r="F16">
        <f t="shared" si="1"/>
        <v>7</v>
      </c>
      <c r="G16" s="1" t="str">
        <f t="shared" si="3"/>
        <v>1.1.2</v>
      </c>
      <c r="H16" s="1">
        <f t="shared" si="8"/>
        <v>4</v>
      </c>
      <c r="I16" t="str">
        <f t="shared" si="4"/>
        <v>1.1.2.5</v>
      </c>
      <c r="J16" t="s">
        <v>111</v>
      </c>
      <c r="L16" s="1">
        <f t="shared" si="5"/>
        <v>8</v>
      </c>
      <c r="M16" s="1" t="str">
        <f t="shared" si="6"/>
        <v>1.1.2</v>
      </c>
      <c r="N16">
        <f t="shared" si="7"/>
        <v>0</v>
      </c>
      <c r="P16" s="13">
        <f t="shared" si="9"/>
        <v>6.5454545454545459</v>
      </c>
      <c r="R16">
        <v>7</v>
      </c>
      <c r="S16">
        <v>8</v>
      </c>
      <c r="T16">
        <v>4</v>
      </c>
      <c r="U16">
        <v>7</v>
      </c>
      <c r="V16">
        <v>5</v>
      </c>
      <c r="W16">
        <v>7</v>
      </c>
      <c r="X16">
        <v>6</v>
      </c>
      <c r="Y16">
        <v>6</v>
      </c>
      <c r="Z16">
        <v>10</v>
      </c>
      <c r="AA16">
        <v>6</v>
      </c>
    </row>
    <row r="17" spans="1:27" x14ac:dyDescent="0.25">
      <c r="A17">
        <v>15</v>
      </c>
      <c r="B17" t="str">
        <f t="shared" si="10"/>
        <v>1a2f</v>
      </c>
      <c r="D17" s="3">
        <v>7</v>
      </c>
      <c r="E17">
        <f t="shared" si="2"/>
        <v>9</v>
      </c>
      <c r="F17">
        <f t="shared" si="1"/>
        <v>7</v>
      </c>
      <c r="G17" s="1" t="str">
        <f t="shared" si="3"/>
        <v>1.1.2</v>
      </c>
      <c r="H17" s="1">
        <f t="shared" si="8"/>
        <v>4</v>
      </c>
      <c r="I17" t="str">
        <f t="shared" si="4"/>
        <v>1.1.2.6</v>
      </c>
      <c r="J17" t="s">
        <v>112</v>
      </c>
      <c r="L17" s="1">
        <f t="shared" si="5"/>
        <v>8</v>
      </c>
      <c r="M17" s="1" t="str">
        <f t="shared" si="6"/>
        <v>1.1.2</v>
      </c>
      <c r="N17">
        <f t="shared" si="7"/>
        <v>0</v>
      </c>
      <c r="P17" s="13">
        <f t="shared" si="9"/>
        <v>7.2727272727272725</v>
      </c>
      <c r="R17">
        <v>8</v>
      </c>
      <c r="S17">
        <v>9</v>
      </c>
      <c r="T17">
        <v>7</v>
      </c>
      <c r="U17">
        <v>7</v>
      </c>
      <c r="V17">
        <v>9</v>
      </c>
      <c r="W17">
        <v>7</v>
      </c>
      <c r="X17">
        <v>7</v>
      </c>
      <c r="Y17">
        <v>8</v>
      </c>
      <c r="Z17">
        <v>6</v>
      </c>
      <c r="AA17">
        <v>5</v>
      </c>
    </row>
    <row r="18" spans="1:27" x14ac:dyDescent="0.25">
      <c r="A18">
        <f>A17+1</f>
        <v>16</v>
      </c>
      <c r="B18" t="str">
        <f t="shared" si="10"/>
        <v>1a2g</v>
      </c>
      <c r="D18" s="3">
        <v>6</v>
      </c>
      <c r="E18">
        <f t="shared" si="2"/>
        <v>9</v>
      </c>
      <c r="F18">
        <f t="shared" si="1"/>
        <v>7</v>
      </c>
      <c r="G18" s="1" t="str">
        <f t="shared" si="3"/>
        <v>1.1.2</v>
      </c>
      <c r="H18" s="1">
        <f t="shared" si="8"/>
        <v>4</v>
      </c>
      <c r="I18" t="str">
        <f t="shared" si="4"/>
        <v>1.1.2.7</v>
      </c>
      <c r="J18" t="s">
        <v>113</v>
      </c>
      <c r="L18" s="1">
        <f t="shared" si="5"/>
        <v>8</v>
      </c>
      <c r="M18" s="1" t="str">
        <f t="shared" si="6"/>
        <v>1.1.2</v>
      </c>
      <c r="N18">
        <f t="shared" si="7"/>
        <v>0</v>
      </c>
      <c r="P18" s="13">
        <f t="shared" si="9"/>
        <v>5.6363636363636367</v>
      </c>
      <c r="R18">
        <v>5</v>
      </c>
      <c r="S18">
        <v>7</v>
      </c>
      <c r="T18">
        <v>5</v>
      </c>
      <c r="U18">
        <v>6</v>
      </c>
      <c r="V18">
        <v>6</v>
      </c>
      <c r="W18">
        <v>5</v>
      </c>
      <c r="X18">
        <v>5</v>
      </c>
      <c r="Y18">
        <v>7</v>
      </c>
      <c r="Z18">
        <v>4</v>
      </c>
      <c r="AA18">
        <v>6</v>
      </c>
    </row>
    <row r="19" spans="1:27" x14ac:dyDescent="0.25">
      <c r="A19">
        <f t="shared" ref="A19:A82" si="11">A18+1</f>
        <v>17</v>
      </c>
      <c r="B19" t="str">
        <f t="shared" si="10"/>
        <v>1a2h</v>
      </c>
      <c r="D19" s="3">
        <v>5</v>
      </c>
      <c r="E19">
        <f t="shared" si="2"/>
        <v>9</v>
      </c>
      <c r="F19">
        <f t="shared" si="1"/>
        <v>7</v>
      </c>
      <c r="G19" s="1" t="str">
        <f t="shared" si="3"/>
        <v>1.1.2</v>
      </c>
      <c r="H19" s="1">
        <f t="shared" ref="H19:H82" si="12">ROUNDUP(F19/2,0)</f>
        <v>4</v>
      </c>
      <c r="I19" t="str">
        <f t="shared" si="4"/>
        <v>1.1.2.8</v>
      </c>
      <c r="J19" t="s">
        <v>114</v>
      </c>
      <c r="L19" s="1">
        <f t="shared" ref="L19:L82" si="13">IFERROR(SEARCH(L$2,J19),SEARCH(". ",J19))</f>
        <v>8</v>
      </c>
      <c r="M19" s="1" t="str">
        <f t="shared" si="6"/>
        <v>1.1.2</v>
      </c>
      <c r="N19">
        <f t="shared" si="7"/>
        <v>0</v>
      </c>
      <c r="P19" s="13">
        <f t="shared" si="9"/>
        <v>5.4545454545454541</v>
      </c>
      <c r="R19">
        <v>6</v>
      </c>
      <c r="S19">
        <v>5</v>
      </c>
      <c r="T19">
        <v>5</v>
      </c>
      <c r="U19">
        <v>5</v>
      </c>
      <c r="V19">
        <v>5</v>
      </c>
      <c r="W19">
        <v>6</v>
      </c>
      <c r="X19">
        <v>6</v>
      </c>
      <c r="Y19">
        <v>6</v>
      </c>
      <c r="Z19">
        <v>6</v>
      </c>
      <c r="AA19">
        <v>5</v>
      </c>
    </row>
    <row r="20" spans="1:27" x14ac:dyDescent="0.25">
      <c r="A20">
        <f t="shared" si="11"/>
        <v>18</v>
      </c>
      <c r="B20" t="str">
        <f t="shared" si="10"/>
        <v>1a3</v>
      </c>
      <c r="D20" s="10">
        <v>10</v>
      </c>
      <c r="E20">
        <f t="shared" si="2"/>
        <v>2</v>
      </c>
      <c r="F20">
        <f t="shared" si="1"/>
        <v>5</v>
      </c>
      <c r="G20" s="1" t="str">
        <f t="shared" si="3"/>
        <v>1.1</v>
      </c>
      <c r="H20" s="1">
        <f t="shared" si="12"/>
        <v>3</v>
      </c>
      <c r="I20" t="str">
        <f t="shared" ref="I20:I83" si="14">LEFT(J20,L20-1)</f>
        <v>1.1.3</v>
      </c>
      <c r="J20" t="s">
        <v>11</v>
      </c>
      <c r="L20" s="1">
        <f t="shared" si="13"/>
        <v>6</v>
      </c>
      <c r="M20" s="1" t="str">
        <f t="shared" si="6"/>
        <v>1.1</v>
      </c>
      <c r="N20">
        <f t="shared" si="7"/>
        <v>0</v>
      </c>
      <c r="P20" s="13">
        <f t="shared" si="9"/>
        <v>9.545454545454545</v>
      </c>
      <c r="R20">
        <v>10</v>
      </c>
      <c r="S20">
        <v>9</v>
      </c>
      <c r="T20">
        <v>8</v>
      </c>
      <c r="U20">
        <v>10</v>
      </c>
      <c r="V20">
        <v>10</v>
      </c>
      <c r="W20">
        <v>10</v>
      </c>
      <c r="X20">
        <v>10</v>
      </c>
      <c r="Y20">
        <v>10</v>
      </c>
      <c r="Z20">
        <v>8</v>
      </c>
      <c r="AA20">
        <v>10</v>
      </c>
    </row>
    <row r="21" spans="1:27" x14ac:dyDescent="0.25">
      <c r="A21">
        <f t="shared" si="11"/>
        <v>19</v>
      </c>
      <c r="B21" t="str">
        <f t="shared" si="10"/>
        <v>1a3a</v>
      </c>
      <c r="D21" s="3">
        <v>9</v>
      </c>
      <c r="E21">
        <f t="shared" si="2"/>
        <v>18</v>
      </c>
      <c r="F21">
        <f t="shared" si="1"/>
        <v>7</v>
      </c>
      <c r="G21" s="1" t="str">
        <f t="shared" si="3"/>
        <v>1.1.3</v>
      </c>
      <c r="H21" s="1">
        <f t="shared" si="12"/>
        <v>4</v>
      </c>
      <c r="I21" t="str">
        <f t="shared" si="14"/>
        <v>1.1.3.1</v>
      </c>
      <c r="J21" t="s">
        <v>115</v>
      </c>
      <c r="L21" s="1">
        <f t="shared" si="13"/>
        <v>8</v>
      </c>
      <c r="M21" s="1" t="str">
        <f t="shared" si="6"/>
        <v>1.1.3</v>
      </c>
      <c r="N21">
        <f t="shared" si="7"/>
        <v>0</v>
      </c>
      <c r="P21" s="13">
        <f t="shared" si="9"/>
        <v>8.9090909090909083</v>
      </c>
      <c r="R21">
        <v>9</v>
      </c>
      <c r="S21">
        <v>9</v>
      </c>
      <c r="T21">
        <v>7</v>
      </c>
      <c r="U21">
        <v>9</v>
      </c>
      <c r="V21">
        <v>10</v>
      </c>
      <c r="W21">
        <v>8</v>
      </c>
      <c r="X21">
        <v>9</v>
      </c>
      <c r="Y21">
        <v>9</v>
      </c>
      <c r="Z21">
        <v>10</v>
      </c>
      <c r="AA21">
        <v>9</v>
      </c>
    </row>
    <row r="22" spans="1:27" x14ac:dyDescent="0.25">
      <c r="A22">
        <f t="shared" si="11"/>
        <v>20</v>
      </c>
      <c r="B22" t="str">
        <f t="shared" si="10"/>
        <v>1a3a1</v>
      </c>
      <c r="D22" s="11">
        <v>8</v>
      </c>
      <c r="E22">
        <f t="shared" si="2"/>
        <v>19</v>
      </c>
      <c r="F22">
        <f t="shared" si="1"/>
        <v>9</v>
      </c>
      <c r="G22" s="1" t="str">
        <f t="shared" si="3"/>
        <v>1.1.3.1</v>
      </c>
      <c r="H22" s="1">
        <f t="shared" si="12"/>
        <v>5</v>
      </c>
      <c r="I22" t="str">
        <f t="shared" si="14"/>
        <v>1.1.3.1.1</v>
      </c>
      <c r="J22" t="s">
        <v>116</v>
      </c>
      <c r="L22" s="1">
        <f t="shared" si="13"/>
        <v>10</v>
      </c>
      <c r="M22" s="1" t="str">
        <f t="shared" si="6"/>
        <v>1.1.3.1</v>
      </c>
      <c r="N22">
        <f t="shared" si="7"/>
        <v>0</v>
      </c>
      <c r="P22" s="13">
        <f t="shared" si="9"/>
        <v>8.2727272727272734</v>
      </c>
      <c r="R22">
        <v>9</v>
      </c>
      <c r="S22">
        <v>7</v>
      </c>
      <c r="T22">
        <v>9</v>
      </c>
      <c r="U22">
        <v>8</v>
      </c>
      <c r="V22">
        <v>9</v>
      </c>
      <c r="W22">
        <v>8</v>
      </c>
      <c r="X22">
        <v>8</v>
      </c>
      <c r="Y22">
        <v>9</v>
      </c>
      <c r="Z22">
        <v>10</v>
      </c>
      <c r="AA22">
        <v>6</v>
      </c>
    </row>
    <row r="23" spans="1:27" x14ac:dyDescent="0.25">
      <c r="A23">
        <f t="shared" si="11"/>
        <v>21</v>
      </c>
      <c r="B23" t="str">
        <f t="shared" si="10"/>
        <v>1a3a2</v>
      </c>
      <c r="D23" s="11">
        <v>9</v>
      </c>
      <c r="E23">
        <f t="shared" si="2"/>
        <v>19</v>
      </c>
      <c r="F23">
        <f t="shared" si="1"/>
        <v>9</v>
      </c>
      <c r="G23" s="1" t="str">
        <f t="shared" si="3"/>
        <v>1.1.3.1</v>
      </c>
      <c r="H23" s="1">
        <f t="shared" si="12"/>
        <v>5</v>
      </c>
      <c r="I23" t="str">
        <f t="shared" si="14"/>
        <v>1.1.3.1.2</v>
      </c>
      <c r="J23" t="s">
        <v>117</v>
      </c>
      <c r="L23" s="1">
        <f t="shared" si="13"/>
        <v>10</v>
      </c>
      <c r="M23" s="1" t="str">
        <f t="shared" si="6"/>
        <v>1.1.3.1</v>
      </c>
      <c r="N23">
        <f t="shared" si="7"/>
        <v>0</v>
      </c>
      <c r="P23" s="13">
        <f t="shared" si="9"/>
        <v>8.7272727272727266</v>
      </c>
      <c r="R23">
        <v>9</v>
      </c>
      <c r="S23">
        <v>7</v>
      </c>
      <c r="T23">
        <v>10</v>
      </c>
      <c r="U23">
        <v>8</v>
      </c>
      <c r="V23">
        <v>9</v>
      </c>
      <c r="W23">
        <v>9</v>
      </c>
      <c r="X23">
        <v>7</v>
      </c>
      <c r="Y23">
        <v>9</v>
      </c>
      <c r="Z23">
        <v>10</v>
      </c>
      <c r="AA23">
        <v>9</v>
      </c>
    </row>
    <row r="24" spans="1:27" x14ac:dyDescent="0.25">
      <c r="A24">
        <f t="shared" si="11"/>
        <v>22</v>
      </c>
      <c r="B24" t="str">
        <f t="shared" si="10"/>
        <v>1a3a3</v>
      </c>
      <c r="D24" s="11">
        <v>6</v>
      </c>
      <c r="E24">
        <f t="shared" si="2"/>
        <v>19</v>
      </c>
      <c r="F24">
        <f t="shared" si="1"/>
        <v>9</v>
      </c>
      <c r="G24" s="1" t="str">
        <f t="shared" si="3"/>
        <v>1.1.3.1</v>
      </c>
      <c r="H24" s="1">
        <f t="shared" si="12"/>
        <v>5</v>
      </c>
      <c r="I24" t="str">
        <f t="shared" si="14"/>
        <v>1.1.3.1.3</v>
      </c>
      <c r="J24" t="s">
        <v>118</v>
      </c>
      <c r="L24" s="1">
        <f t="shared" si="13"/>
        <v>10</v>
      </c>
      <c r="M24" s="1" t="str">
        <f t="shared" si="6"/>
        <v>1.1.3.1</v>
      </c>
      <c r="N24">
        <f t="shared" si="7"/>
        <v>0</v>
      </c>
      <c r="P24" s="13">
        <f t="shared" si="9"/>
        <v>5.7272727272727275</v>
      </c>
      <c r="R24">
        <v>8</v>
      </c>
      <c r="S24">
        <v>6</v>
      </c>
      <c r="T24">
        <v>8</v>
      </c>
      <c r="U24">
        <v>9</v>
      </c>
      <c r="V24">
        <v>2</v>
      </c>
      <c r="W24">
        <v>4</v>
      </c>
      <c r="X24">
        <v>7</v>
      </c>
      <c r="Y24">
        <v>6</v>
      </c>
      <c r="Z24">
        <v>1</v>
      </c>
      <c r="AA24">
        <v>6</v>
      </c>
    </row>
    <row r="25" spans="1:27" x14ac:dyDescent="0.25">
      <c r="A25">
        <f t="shared" si="11"/>
        <v>23</v>
      </c>
      <c r="B25" t="str">
        <f t="shared" si="10"/>
        <v>1a3a4</v>
      </c>
      <c r="D25" s="11">
        <v>7</v>
      </c>
      <c r="E25">
        <f t="shared" si="2"/>
        <v>19</v>
      </c>
      <c r="F25">
        <f t="shared" si="1"/>
        <v>9</v>
      </c>
      <c r="G25" s="1" t="str">
        <f t="shared" si="3"/>
        <v>1.1.3.1</v>
      </c>
      <c r="H25" s="1">
        <f t="shared" si="12"/>
        <v>5</v>
      </c>
      <c r="I25" t="str">
        <f t="shared" si="14"/>
        <v>1.1.3.1.4</v>
      </c>
      <c r="J25" t="s">
        <v>119</v>
      </c>
      <c r="L25" s="1">
        <f t="shared" si="13"/>
        <v>10</v>
      </c>
      <c r="M25" s="1" t="str">
        <f t="shared" si="6"/>
        <v>1.1.3.1</v>
      </c>
      <c r="N25">
        <f t="shared" si="7"/>
        <v>0</v>
      </c>
      <c r="P25" s="13">
        <f t="shared" si="9"/>
        <v>7.6363636363636367</v>
      </c>
      <c r="R25">
        <v>7</v>
      </c>
      <c r="S25">
        <v>8</v>
      </c>
      <c r="T25">
        <v>8</v>
      </c>
      <c r="U25">
        <v>7</v>
      </c>
      <c r="V25">
        <v>8</v>
      </c>
      <c r="W25">
        <v>7</v>
      </c>
      <c r="X25">
        <v>8</v>
      </c>
      <c r="Y25">
        <v>7</v>
      </c>
      <c r="Z25">
        <v>10</v>
      </c>
      <c r="AA25">
        <v>7</v>
      </c>
    </row>
    <row r="26" spans="1:27" x14ac:dyDescent="0.25">
      <c r="A26">
        <f t="shared" si="11"/>
        <v>24</v>
      </c>
      <c r="B26" t="str">
        <f t="shared" si="10"/>
        <v>1a3a5</v>
      </c>
      <c r="D26" s="11">
        <v>8</v>
      </c>
      <c r="E26">
        <f t="shared" si="2"/>
        <v>19</v>
      </c>
      <c r="F26">
        <f t="shared" si="1"/>
        <v>9</v>
      </c>
      <c r="G26" s="1" t="str">
        <f t="shared" si="3"/>
        <v>1.1.3.1</v>
      </c>
      <c r="H26" s="1">
        <f t="shared" si="12"/>
        <v>5</v>
      </c>
      <c r="I26" t="str">
        <f t="shared" si="14"/>
        <v>1.1.3.1.5</v>
      </c>
      <c r="J26" t="s">
        <v>120</v>
      </c>
      <c r="L26" s="1">
        <f t="shared" si="13"/>
        <v>10</v>
      </c>
      <c r="M26" s="1" t="str">
        <f t="shared" si="6"/>
        <v>1.1.3.1</v>
      </c>
      <c r="N26">
        <f t="shared" si="7"/>
        <v>0</v>
      </c>
      <c r="P26" s="13">
        <f t="shared" si="9"/>
        <v>8</v>
      </c>
      <c r="R26">
        <v>8</v>
      </c>
      <c r="S26">
        <v>9</v>
      </c>
      <c r="T26">
        <v>7</v>
      </c>
      <c r="U26">
        <v>10</v>
      </c>
      <c r="V26">
        <v>7</v>
      </c>
      <c r="W26">
        <v>9</v>
      </c>
      <c r="X26">
        <v>8</v>
      </c>
      <c r="Y26">
        <v>6</v>
      </c>
      <c r="Z26">
        <v>8</v>
      </c>
      <c r="AA26">
        <v>8</v>
      </c>
    </row>
    <row r="27" spans="1:27" x14ac:dyDescent="0.25">
      <c r="A27">
        <f t="shared" si="11"/>
        <v>25</v>
      </c>
      <c r="B27" t="str">
        <f t="shared" si="10"/>
        <v>1a3a6</v>
      </c>
      <c r="D27" s="11">
        <v>8</v>
      </c>
      <c r="E27">
        <f t="shared" si="2"/>
        <v>19</v>
      </c>
      <c r="F27">
        <f t="shared" si="1"/>
        <v>9</v>
      </c>
      <c r="G27" s="1" t="str">
        <f t="shared" si="3"/>
        <v>1.1.3.1</v>
      </c>
      <c r="H27" s="1">
        <f t="shared" si="12"/>
        <v>5</v>
      </c>
      <c r="I27" t="str">
        <f t="shared" si="14"/>
        <v>1.1.3.1.6</v>
      </c>
      <c r="J27" t="s">
        <v>121</v>
      </c>
      <c r="L27" s="1">
        <f t="shared" si="13"/>
        <v>10</v>
      </c>
      <c r="M27" s="1" t="str">
        <f t="shared" si="6"/>
        <v>1.1.3.1</v>
      </c>
      <c r="N27">
        <f t="shared" si="7"/>
        <v>0</v>
      </c>
      <c r="P27" s="13">
        <f t="shared" si="9"/>
        <v>8.454545454545455</v>
      </c>
      <c r="R27">
        <v>8</v>
      </c>
      <c r="S27">
        <v>8</v>
      </c>
      <c r="T27">
        <v>10</v>
      </c>
      <c r="U27">
        <v>9</v>
      </c>
      <c r="V27">
        <v>10</v>
      </c>
      <c r="W27">
        <v>9</v>
      </c>
      <c r="X27">
        <v>7</v>
      </c>
      <c r="Y27">
        <v>7</v>
      </c>
      <c r="Z27">
        <v>10</v>
      </c>
      <c r="AA27">
        <v>7</v>
      </c>
    </row>
    <row r="28" spans="1:27" x14ac:dyDescent="0.25">
      <c r="A28">
        <f t="shared" si="11"/>
        <v>26</v>
      </c>
      <c r="B28" t="str">
        <f t="shared" si="10"/>
        <v>1a3a7</v>
      </c>
      <c r="D28" s="11">
        <v>8</v>
      </c>
      <c r="E28">
        <f t="shared" si="2"/>
        <v>19</v>
      </c>
      <c r="F28">
        <f t="shared" si="1"/>
        <v>9</v>
      </c>
      <c r="G28" s="1" t="str">
        <f t="shared" si="3"/>
        <v>1.1.3.1</v>
      </c>
      <c r="H28" s="1">
        <f t="shared" si="12"/>
        <v>5</v>
      </c>
      <c r="I28" t="str">
        <f t="shared" si="14"/>
        <v>1.1.3.1.7</v>
      </c>
      <c r="J28" t="s">
        <v>122</v>
      </c>
      <c r="L28" s="1">
        <f t="shared" si="13"/>
        <v>10</v>
      </c>
      <c r="M28" s="1" t="str">
        <f t="shared" si="6"/>
        <v>1.1.3.1</v>
      </c>
      <c r="N28">
        <f t="shared" si="7"/>
        <v>0</v>
      </c>
      <c r="P28" s="13">
        <f t="shared" si="9"/>
        <v>7.1818181818181817</v>
      </c>
      <c r="R28">
        <v>7</v>
      </c>
      <c r="S28">
        <v>8</v>
      </c>
      <c r="T28">
        <v>8</v>
      </c>
      <c r="U28">
        <v>7</v>
      </c>
      <c r="V28">
        <v>5</v>
      </c>
      <c r="W28">
        <v>8</v>
      </c>
      <c r="X28">
        <v>8</v>
      </c>
      <c r="Y28">
        <v>8</v>
      </c>
      <c r="Z28">
        <v>4</v>
      </c>
      <c r="AA28">
        <v>8</v>
      </c>
    </row>
    <row r="29" spans="1:27" x14ac:dyDescent="0.25">
      <c r="A29">
        <f t="shared" si="11"/>
        <v>27</v>
      </c>
      <c r="B29" t="str">
        <f t="shared" si="10"/>
        <v>1a3a8</v>
      </c>
      <c r="D29" s="11">
        <v>10</v>
      </c>
      <c r="E29">
        <f t="shared" si="2"/>
        <v>19</v>
      </c>
      <c r="F29">
        <f t="shared" si="1"/>
        <v>9</v>
      </c>
      <c r="G29" s="1" t="str">
        <f t="shared" si="3"/>
        <v>1.1.3.1</v>
      </c>
      <c r="H29" s="1">
        <f t="shared" si="12"/>
        <v>5</v>
      </c>
      <c r="I29" t="str">
        <f t="shared" si="14"/>
        <v>1.1.3.1.8</v>
      </c>
      <c r="J29" t="s">
        <v>123</v>
      </c>
      <c r="L29" s="1">
        <f t="shared" si="13"/>
        <v>10</v>
      </c>
      <c r="M29" s="1" t="str">
        <f t="shared" si="6"/>
        <v>1.1.3.1</v>
      </c>
      <c r="N29">
        <f t="shared" si="7"/>
        <v>0</v>
      </c>
      <c r="P29" s="13">
        <f t="shared" si="9"/>
        <v>9.8181818181818183</v>
      </c>
      <c r="R29">
        <v>9</v>
      </c>
      <c r="S29">
        <v>10</v>
      </c>
      <c r="T29">
        <v>10</v>
      </c>
      <c r="U29">
        <v>10</v>
      </c>
      <c r="V29">
        <v>10</v>
      </c>
      <c r="W29">
        <v>10</v>
      </c>
      <c r="X29">
        <v>10</v>
      </c>
      <c r="Y29">
        <v>9</v>
      </c>
      <c r="Z29">
        <v>10</v>
      </c>
      <c r="AA29">
        <v>10</v>
      </c>
    </row>
    <row r="30" spans="1:27" x14ac:dyDescent="0.25">
      <c r="A30">
        <f t="shared" si="11"/>
        <v>28</v>
      </c>
      <c r="B30" t="str">
        <f t="shared" si="10"/>
        <v>1a3a9</v>
      </c>
      <c r="D30" s="11">
        <v>7</v>
      </c>
      <c r="E30">
        <f t="shared" si="2"/>
        <v>19</v>
      </c>
      <c r="F30">
        <f t="shared" si="1"/>
        <v>9</v>
      </c>
      <c r="G30" s="1" t="str">
        <f t="shared" si="3"/>
        <v>1.1.3.1</v>
      </c>
      <c r="H30" s="1">
        <f t="shared" si="12"/>
        <v>5</v>
      </c>
      <c r="I30" t="str">
        <f t="shared" si="14"/>
        <v>1.1.3.1.9</v>
      </c>
      <c r="J30" t="s">
        <v>124</v>
      </c>
      <c r="L30" s="1">
        <f t="shared" si="13"/>
        <v>10</v>
      </c>
      <c r="M30" s="1" t="str">
        <f t="shared" si="6"/>
        <v>1.1.3.1</v>
      </c>
      <c r="N30">
        <f t="shared" si="7"/>
        <v>0</v>
      </c>
      <c r="P30" s="13">
        <f t="shared" si="9"/>
        <v>7.2727272727272725</v>
      </c>
      <c r="R30">
        <v>6</v>
      </c>
      <c r="S30">
        <v>6</v>
      </c>
      <c r="T30">
        <v>7</v>
      </c>
      <c r="U30">
        <v>7</v>
      </c>
      <c r="V30">
        <v>8</v>
      </c>
      <c r="W30">
        <v>9</v>
      </c>
      <c r="X30">
        <v>6</v>
      </c>
      <c r="Y30">
        <v>7</v>
      </c>
      <c r="Z30">
        <v>10</v>
      </c>
      <c r="AA30">
        <v>7</v>
      </c>
    </row>
    <row r="31" spans="1:27" x14ac:dyDescent="0.25">
      <c r="A31">
        <f t="shared" si="11"/>
        <v>29</v>
      </c>
      <c r="B31" t="str">
        <f t="shared" si="10"/>
        <v>1a3b</v>
      </c>
      <c r="D31" s="3">
        <v>9</v>
      </c>
      <c r="E31">
        <f t="shared" si="2"/>
        <v>18</v>
      </c>
      <c r="F31">
        <f t="shared" si="1"/>
        <v>7</v>
      </c>
      <c r="G31" s="1" t="str">
        <f t="shared" si="3"/>
        <v>1.1.3</v>
      </c>
      <c r="H31" s="1">
        <f t="shared" si="12"/>
        <v>4</v>
      </c>
      <c r="I31" t="str">
        <f t="shared" si="14"/>
        <v>1.1.3.2</v>
      </c>
      <c r="J31" t="s">
        <v>125</v>
      </c>
      <c r="L31" s="1">
        <f t="shared" si="13"/>
        <v>8</v>
      </c>
      <c r="M31" s="1" t="str">
        <f t="shared" si="6"/>
        <v>1.1.3</v>
      </c>
      <c r="N31">
        <f t="shared" si="7"/>
        <v>0</v>
      </c>
      <c r="P31" s="13">
        <f t="shared" si="9"/>
        <v>9.0909090909090917</v>
      </c>
      <c r="R31">
        <v>10</v>
      </c>
      <c r="S31">
        <v>10</v>
      </c>
      <c r="T31">
        <v>10</v>
      </c>
      <c r="U31">
        <v>10</v>
      </c>
      <c r="V31">
        <v>10</v>
      </c>
      <c r="W31">
        <v>9</v>
      </c>
      <c r="X31">
        <v>9</v>
      </c>
      <c r="Y31">
        <v>8</v>
      </c>
      <c r="Z31">
        <v>5</v>
      </c>
      <c r="AA31">
        <v>10</v>
      </c>
    </row>
    <row r="32" spans="1:27" x14ac:dyDescent="0.25">
      <c r="A32">
        <f t="shared" si="11"/>
        <v>30</v>
      </c>
      <c r="B32" t="str">
        <f t="shared" si="10"/>
        <v>1a3b1</v>
      </c>
      <c r="D32" s="11">
        <v>10</v>
      </c>
      <c r="E32">
        <f t="shared" si="2"/>
        <v>29</v>
      </c>
      <c r="F32">
        <f t="shared" si="1"/>
        <v>9</v>
      </c>
      <c r="G32" s="1" t="str">
        <f t="shared" si="3"/>
        <v>1.1.3.2</v>
      </c>
      <c r="H32" s="1">
        <f t="shared" si="12"/>
        <v>5</v>
      </c>
      <c r="I32" t="str">
        <f t="shared" si="14"/>
        <v>1.1.3.2.1</v>
      </c>
      <c r="J32" t="s">
        <v>126</v>
      </c>
      <c r="L32" s="1">
        <f t="shared" si="13"/>
        <v>10</v>
      </c>
      <c r="M32" s="1" t="str">
        <f t="shared" si="6"/>
        <v>1.1.3.2</v>
      </c>
      <c r="N32">
        <f t="shared" si="7"/>
        <v>0</v>
      </c>
      <c r="P32" s="13">
        <f t="shared" si="9"/>
        <v>9.7272727272727266</v>
      </c>
      <c r="R32">
        <v>10</v>
      </c>
      <c r="S32">
        <v>10</v>
      </c>
      <c r="T32">
        <v>10</v>
      </c>
      <c r="U32">
        <v>10</v>
      </c>
      <c r="V32">
        <v>10</v>
      </c>
      <c r="W32">
        <v>9</v>
      </c>
      <c r="X32">
        <v>8</v>
      </c>
      <c r="Y32">
        <v>10</v>
      </c>
      <c r="Z32">
        <v>10</v>
      </c>
      <c r="AA32">
        <v>10</v>
      </c>
    </row>
    <row r="33" spans="1:27" x14ac:dyDescent="0.25">
      <c r="A33">
        <f t="shared" si="11"/>
        <v>31</v>
      </c>
      <c r="B33" t="str">
        <f t="shared" si="10"/>
        <v>1a3b2</v>
      </c>
      <c r="D33" s="11">
        <v>10</v>
      </c>
      <c r="E33">
        <f t="shared" si="2"/>
        <v>29</v>
      </c>
      <c r="F33">
        <f t="shared" si="1"/>
        <v>9</v>
      </c>
      <c r="G33" s="1" t="str">
        <f t="shared" si="3"/>
        <v>1.1.3.2</v>
      </c>
      <c r="H33" s="1">
        <f t="shared" si="12"/>
        <v>5</v>
      </c>
      <c r="I33" t="str">
        <f t="shared" si="14"/>
        <v>1.1.3.2.2</v>
      </c>
      <c r="J33" t="s">
        <v>127</v>
      </c>
      <c r="L33" s="1">
        <f t="shared" si="13"/>
        <v>10</v>
      </c>
      <c r="M33" s="1" t="str">
        <f t="shared" si="6"/>
        <v>1.1.3.2</v>
      </c>
      <c r="N33">
        <f t="shared" si="7"/>
        <v>0</v>
      </c>
      <c r="P33" s="13">
        <f t="shared" si="9"/>
        <v>9</v>
      </c>
      <c r="R33">
        <v>10</v>
      </c>
      <c r="S33">
        <v>9</v>
      </c>
      <c r="T33">
        <v>10</v>
      </c>
      <c r="U33">
        <v>10</v>
      </c>
      <c r="V33">
        <v>8</v>
      </c>
      <c r="W33">
        <v>10</v>
      </c>
      <c r="X33">
        <v>9</v>
      </c>
      <c r="Y33">
        <v>10</v>
      </c>
      <c r="Z33">
        <v>3</v>
      </c>
      <c r="AA33">
        <v>10</v>
      </c>
    </row>
    <row r="34" spans="1:27" x14ac:dyDescent="0.25">
      <c r="A34">
        <f t="shared" si="11"/>
        <v>32</v>
      </c>
      <c r="B34" t="str">
        <f t="shared" si="10"/>
        <v>1a3b3</v>
      </c>
      <c r="D34" s="11">
        <v>8</v>
      </c>
      <c r="E34">
        <f t="shared" si="2"/>
        <v>29</v>
      </c>
      <c r="F34">
        <f t="shared" si="1"/>
        <v>9</v>
      </c>
      <c r="G34" s="1" t="str">
        <f t="shared" si="3"/>
        <v>1.1.3.2</v>
      </c>
      <c r="H34" s="1">
        <f t="shared" si="12"/>
        <v>5</v>
      </c>
      <c r="I34" t="str">
        <f t="shared" si="14"/>
        <v>1.1.3.2.3</v>
      </c>
      <c r="J34" t="s">
        <v>128</v>
      </c>
      <c r="L34" s="1">
        <f t="shared" si="13"/>
        <v>10</v>
      </c>
      <c r="M34" s="1" t="str">
        <f t="shared" si="6"/>
        <v>1.1.3.2</v>
      </c>
      <c r="N34">
        <f t="shared" si="7"/>
        <v>0</v>
      </c>
      <c r="P34" s="13">
        <f t="shared" si="9"/>
        <v>8.0909090909090917</v>
      </c>
      <c r="R34">
        <v>8</v>
      </c>
      <c r="S34">
        <v>6</v>
      </c>
      <c r="T34">
        <v>10</v>
      </c>
      <c r="U34">
        <v>9</v>
      </c>
      <c r="V34">
        <v>10</v>
      </c>
      <c r="W34">
        <v>9</v>
      </c>
      <c r="X34">
        <v>6</v>
      </c>
      <c r="Y34">
        <v>8</v>
      </c>
      <c r="Z34">
        <v>7</v>
      </c>
      <c r="AA34">
        <v>8</v>
      </c>
    </row>
    <row r="35" spans="1:27" x14ac:dyDescent="0.25">
      <c r="A35">
        <f t="shared" si="11"/>
        <v>33</v>
      </c>
      <c r="B35" t="str">
        <f t="shared" si="10"/>
        <v>1a3b4</v>
      </c>
      <c r="D35" s="11">
        <v>7</v>
      </c>
      <c r="E35">
        <f t="shared" si="2"/>
        <v>29</v>
      </c>
      <c r="F35">
        <f t="shared" si="1"/>
        <v>9</v>
      </c>
      <c r="G35" s="1" t="str">
        <f t="shared" si="3"/>
        <v>1.1.3.2</v>
      </c>
      <c r="H35" s="1">
        <f t="shared" si="12"/>
        <v>5</v>
      </c>
      <c r="I35" t="str">
        <f t="shared" si="14"/>
        <v>1.1.3.2.4</v>
      </c>
      <c r="J35" t="s">
        <v>129</v>
      </c>
      <c r="L35" s="1">
        <f t="shared" si="13"/>
        <v>10</v>
      </c>
      <c r="M35" s="1" t="str">
        <f t="shared" si="6"/>
        <v>1.1.3.2</v>
      </c>
      <c r="N35">
        <f t="shared" si="7"/>
        <v>0</v>
      </c>
      <c r="P35" s="13">
        <f t="shared" si="9"/>
        <v>6</v>
      </c>
      <c r="R35">
        <v>7</v>
      </c>
      <c r="S35">
        <v>9</v>
      </c>
      <c r="T35">
        <v>5</v>
      </c>
      <c r="U35">
        <v>6</v>
      </c>
      <c r="V35">
        <v>7</v>
      </c>
      <c r="W35">
        <v>6</v>
      </c>
      <c r="X35">
        <v>5</v>
      </c>
      <c r="Y35">
        <v>4</v>
      </c>
      <c r="Z35">
        <v>4</v>
      </c>
      <c r="AA35">
        <v>6</v>
      </c>
    </row>
    <row r="36" spans="1:27" x14ac:dyDescent="0.25">
      <c r="A36">
        <f t="shared" si="11"/>
        <v>34</v>
      </c>
      <c r="B36" t="str">
        <f t="shared" si="10"/>
        <v>1a3b5</v>
      </c>
      <c r="D36" s="11">
        <v>8</v>
      </c>
      <c r="E36">
        <f t="shared" si="2"/>
        <v>29</v>
      </c>
      <c r="F36">
        <f t="shared" si="1"/>
        <v>9</v>
      </c>
      <c r="G36" s="1" t="str">
        <f t="shared" si="3"/>
        <v>1.1.3.2</v>
      </c>
      <c r="H36" s="1">
        <f t="shared" si="12"/>
        <v>5</v>
      </c>
      <c r="I36" t="str">
        <f t="shared" si="14"/>
        <v>1.1.3.2.5</v>
      </c>
      <c r="J36" t="s">
        <v>130</v>
      </c>
      <c r="L36" s="1">
        <f t="shared" si="13"/>
        <v>10</v>
      </c>
      <c r="M36" s="1" t="str">
        <f t="shared" si="6"/>
        <v>1.1.3.2</v>
      </c>
      <c r="N36">
        <f t="shared" si="7"/>
        <v>0</v>
      </c>
      <c r="P36" s="13">
        <f t="shared" si="9"/>
        <v>7.8181818181818183</v>
      </c>
      <c r="R36">
        <v>7</v>
      </c>
      <c r="S36">
        <v>9</v>
      </c>
      <c r="T36">
        <v>7</v>
      </c>
      <c r="U36">
        <v>8</v>
      </c>
      <c r="V36">
        <v>9</v>
      </c>
      <c r="W36">
        <v>10</v>
      </c>
      <c r="X36">
        <v>8</v>
      </c>
      <c r="Y36">
        <v>8</v>
      </c>
      <c r="Z36">
        <v>6</v>
      </c>
      <c r="AA36">
        <v>6</v>
      </c>
    </row>
    <row r="37" spans="1:27" x14ac:dyDescent="0.25">
      <c r="A37">
        <f t="shared" si="11"/>
        <v>35</v>
      </c>
      <c r="B37" t="str">
        <f t="shared" si="10"/>
        <v>1a3b6</v>
      </c>
      <c r="D37" s="11">
        <v>8</v>
      </c>
      <c r="E37">
        <f t="shared" si="2"/>
        <v>29</v>
      </c>
      <c r="F37">
        <f t="shared" si="1"/>
        <v>9</v>
      </c>
      <c r="G37" s="1" t="str">
        <f t="shared" si="3"/>
        <v>1.1.3.2</v>
      </c>
      <c r="H37" s="1">
        <f t="shared" si="12"/>
        <v>5</v>
      </c>
      <c r="I37" t="str">
        <f t="shared" si="14"/>
        <v>1.1.3.2.6</v>
      </c>
      <c r="J37" t="s">
        <v>131</v>
      </c>
      <c r="L37" s="1">
        <f t="shared" si="13"/>
        <v>10</v>
      </c>
      <c r="M37" s="1" t="str">
        <f t="shared" si="6"/>
        <v>1.1.3.2</v>
      </c>
      <c r="N37">
        <f t="shared" si="7"/>
        <v>0</v>
      </c>
      <c r="P37" s="13">
        <f t="shared" si="9"/>
        <v>7.1818181818181817</v>
      </c>
      <c r="R37">
        <v>7</v>
      </c>
      <c r="S37">
        <v>8</v>
      </c>
      <c r="T37">
        <v>6</v>
      </c>
      <c r="U37">
        <v>8</v>
      </c>
      <c r="V37">
        <v>6</v>
      </c>
      <c r="W37">
        <v>9</v>
      </c>
      <c r="X37">
        <v>6</v>
      </c>
      <c r="Y37">
        <v>7</v>
      </c>
      <c r="Z37">
        <v>7</v>
      </c>
      <c r="AA37">
        <v>7</v>
      </c>
    </row>
    <row r="38" spans="1:27" x14ac:dyDescent="0.25">
      <c r="A38">
        <f t="shared" si="11"/>
        <v>36</v>
      </c>
      <c r="B38" t="str">
        <f t="shared" si="10"/>
        <v>1a3b7</v>
      </c>
      <c r="D38" s="11">
        <v>8</v>
      </c>
      <c r="E38">
        <f t="shared" si="2"/>
        <v>29</v>
      </c>
      <c r="F38">
        <f t="shared" si="1"/>
        <v>9</v>
      </c>
      <c r="G38" s="1" t="str">
        <f t="shared" si="3"/>
        <v>1.1.3.2</v>
      </c>
      <c r="H38" s="1">
        <f t="shared" si="12"/>
        <v>5</v>
      </c>
      <c r="I38" t="str">
        <f t="shared" si="14"/>
        <v>1.1.3.2.7</v>
      </c>
      <c r="J38" t="s">
        <v>132</v>
      </c>
      <c r="L38" s="1">
        <f t="shared" si="13"/>
        <v>10</v>
      </c>
      <c r="M38" s="1" t="str">
        <f t="shared" si="6"/>
        <v>1.1.3.2</v>
      </c>
      <c r="N38">
        <f t="shared" si="7"/>
        <v>0</v>
      </c>
      <c r="P38" s="13">
        <f t="shared" si="9"/>
        <v>8</v>
      </c>
      <c r="R38">
        <v>9</v>
      </c>
      <c r="S38">
        <v>10</v>
      </c>
      <c r="T38">
        <v>9</v>
      </c>
      <c r="U38">
        <v>8</v>
      </c>
      <c r="V38">
        <v>7</v>
      </c>
      <c r="W38">
        <v>9</v>
      </c>
      <c r="X38">
        <v>8</v>
      </c>
      <c r="Y38">
        <v>7</v>
      </c>
      <c r="Z38">
        <v>5</v>
      </c>
      <c r="AA38">
        <v>8</v>
      </c>
    </row>
    <row r="39" spans="1:27" x14ac:dyDescent="0.25">
      <c r="A39">
        <f t="shared" si="11"/>
        <v>37</v>
      </c>
      <c r="B39" t="str">
        <f t="shared" si="10"/>
        <v>1a3b8</v>
      </c>
      <c r="D39" s="11">
        <v>9</v>
      </c>
      <c r="E39">
        <f t="shared" si="2"/>
        <v>29</v>
      </c>
      <c r="F39">
        <f t="shared" si="1"/>
        <v>9</v>
      </c>
      <c r="G39" s="1" t="str">
        <f t="shared" si="3"/>
        <v>1.1.3.2</v>
      </c>
      <c r="H39" s="1">
        <f t="shared" si="12"/>
        <v>5</v>
      </c>
      <c r="I39" t="str">
        <f t="shared" si="14"/>
        <v>1.1.3.2.8</v>
      </c>
      <c r="J39" t="s">
        <v>133</v>
      </c>
      <c r="L39" s="1">
        <f t="shared" si="13"/>
        <v>10</v>
      </c>
      <c r="M39" s="1" t="str">
        <f t="shared" si="6"/>
        <v>1.1.3.2</v>
      </c>
      <c r="N39">
        <f t="shared" si="7"/>
        <v>0</v>
      </c>
      <c r="P39" s="13">
        <f t="shared" si="9"/>
        <v>8.7272727272727266</v>
      </c>
      <c r="R39">
        <v>9</v>
      </c>
      <c r="S39">
        <v>7</v>
      </c>
      <c r="T39">
        <v>7</v>
      </c>
      <c r="U39">
        <v>8</v>
      </c>
      <c r="V39">
        <v>10</v>
      </c>
      <c r="W39">
        <v>9</v>
      </c>
      <c r="X39">
        <v>9</v>
      </c>
      <c r="Y39">
        <v>10</v>
      </c>
      <c r="Z39">
        <v>10</v>
      </c>
      <c r="AA39">
        <v>8</v>
      </c>
    </row>
    <row r="40" spans="1:27" x14ac:dyDescent="0.25">
      <c r="A40">
        <f t="shared" si="11"/>
        <v>38</v>
      </c>
      <c r="B40" t="str">
        <f t="shared" si="10"/>
        <v>1a3b9</v>
      </c>
      <c r="D40" s="11">
        <v>8</v>
      </c>
      <c r="E40">
        <f t="shared" si="2"/>
        <v>29</v>
      </c>
      <c r="F40">
        <f t="shared" si="1"/>
        <v>9</v>
      </c>
      <c r="G40" s="1" t="str">
        <f t="shared" si="3"/>
        <v>1.1.3.2</v>
      </c>
      <c r="H40" s="1">
        <f t="shared" si="12"/>
        <v>5</v>
      </c>
      <c r="I40" t="str">
        <f t="shared" si="14"/>
        <v>1.1.3.2.9</v>
      </c>
      <c r="J40" t="s">
        <v>134</v>
      </c>
      <c r="L40" s="1">
        <f t="shared" si="13"/>
        <v>10</v>
      </c>
      <c r="M40" s="1" t="str">
        <f t="shared" si="6"/>
        <v>1.1.3.2</v>
      </c>
      <c r="N40">
        <f t="shared" si="7"/>
        <v>0</v>
      </c>
      <c r="P40" s="13">
        <f t="shared" si="9"/>
        <v>8.0909090909090917</v>
      </c>
      <c r="R40">
        <v>8</v>
      </c>
      <c r="S40">
        <v>7</v>
      </c>
      <c r="T40">
        <v>8</v>
      </c>
      <c r="U40">
        <v>8</v>
      </c>
      <c r="V40">
        <v>10</v>
      </c>
      <c r="W40">
        <v>9</v>
      </c>
      <c r="X40">
        <v>8</v>
      </c>
      <c r="Y40">
        <v>8</v>
      </c>
      <c r="Z40">
        <v>5</v>
      </c>
      <c r="AA40">
        <v>10</v>
      </c>
    </row>
    <row r="41" spans="1:27" x14ac:dyDescent="0.25">
      <c r="A41">
        <f t="shared" si="11"/>
        <v>39</v>
      </c>
      <c r="B41" t="str">
        <f t="shared" si="10"/>
        <v>1a3b10</v>
      </c>
      <c r="D41" s="11">
        <v>10</v>
      </c>
      <c r="E41">
        <f t="shared" si="2"/>
        <v>29</v>
      </c>
      <c r="F41">
        <f t="shared" si="1"/>
        <v>10</v>
      </c>
      <c r="G41" s="1" t="str">
        <f t="shared" si="3"/>
        <v>1.1.3.2</v>
      </c>
      <c r="H41" s="1">
        <f t="shared" si="12"/>
        <v>5</v>
      </c>
      <c r="I41" t="str">
        <f t="shared" si="14"/>
        <v>1.1.3.2.10</v>
      </c>
      <c r="J41" t="s">
        <v>135</v>
      </c>
      <c r="L41" s="1">
        <f t="shared" si="13"/>
        <v>11</v>
      </c>
      <c r="M41" s="1" t="str">
        <f t="shared" si="6"/>
        <v>1.1.3.2.</v>
      </c>
      <c r="N41">
        <f t="shared" si="7"/>
        <v>1</v>
      </c>
      <c r="P41" s="13">
        <f t="shared" si="9"/>
        <v>9.2727272727272734</v>
      </c>
      <c r="R41">
        <v>10</v>
      </c>
      <c r="S41">
        <v>9</v>
      </c>
      <c r="T41">
        <v>8</v>
      </c>
      <c r="U41">
        <v>9</v>
      </c>
      <c r="V41">
        <v>10</v>
      </c>
      <c r="W41">
        <v>9</v>
      </c>
      <c r="X41">
        <v>10</v>
      </c>
      <c r="Y41">
        <v>9</v>
      </c>
      <c r="Z41">
        <v>8</v>
      </c>
      <c r="AA41">
        <v>10</v>
      </c>
    </row>
    <row r="42" spans="1:27" x14ac:dyDescent="0.25">
      <c r="A42">
        <f t="shared" si="11"/>
        <v>40</v>
      </c>
      <c r="B42" t="str">
        <f t="shared" si="10"/>
        <v>1a3b11</v>
      </c>
      <c r="D42" s="11">
        <v>7</v>
      </c>
      <c r="E42">
        <f t="shared" si="2"/>
        <v>29</v>
      </c>
      <c r="F42">
        <f t="shared" si="1"/>
        <v>10</v>
      </c>
      <c r="G42" s="1" t="str">
        <f t="shared" si="3"/>
        <v>1.1.3.2</v>
      </c>
      <c r="H42" s="1">
        <f t="shared" si="12"/>
        <v>5</v>
      </c>
      <c r="I42" t="str">
        <f t="shared" si="14"/>
        <v>1.1.3.2.11</v>
      </c>
      <c r="J42" t="s">
        <v>136</v>
      </c>
      <c r="L42" s="1">
        <f t="shared" si="13"/>
        <v>11</v>
      </c>
      <c r="M42" s="1" t="str">
        <f t="shared" si="6"/>
        <v>1.1.3.2.</v>
      </c>
      <c r="N42">
        <f t="shared" si="7"/>
        <v>1</v>
      </c>
      <c r="P42" s="13">
        <f t="shared" si="9"/>
        <v>6.5454545454545459</v>
      </c>
      <c r="R42">
        <v>6</v>
      </c>
      <c r="S42">
        <v>7</v>
      </c>
      <c r="T42">
        <v>7</v>
      </c>
      <c r="U42">
        <v>6</v>
      </c>
      <c r="V42">
        <v>4</v>
      </c>
      <c r="W42">
        <v>6</v>
      </c>
      <c r="X42">
        <v>8</v>
      </c>
      <c r="Y42">
        <v>7</v>
      </c>
      <c r="Z42">
        <v>5</v>
      </c>
      <c r="AA42">
        <v>9</v>
      </c>
    </row>
    <row r="43" spans="1:27" x14ac:dyDescent="0.25">
      <c r="A43">
        <f t="shared" si="11"/>
        <v>41</v>
      </c>
      <c r="B43" t="str">
        <f t="shared" si="10"/>
        <v>1a3c</v>
      </c>
      <c r="D43" s="3">
        <v>9</v>
      </c>
      <c r="E43">
        <f t="shared" si="2"/>
        <v>18</v>
      </c>
      <c r="F43">
        <f t="shared" si="1"/>
        <v>7</v>
      </c>
      <c r="G43" s="1" t="str">
        <f t="shared" si="3"/>
        <v>1.1.3</v>
      </c>
      <c r="H43" s="1">
        <f t="shared" si="12"/>
        <v>4</v>
      </c>
      <c r="I43" t="str">
        <f t="shared" si="14"/>
        <v>1.1.3.3</v>
      </c>
      <c r="J43" t="s">
        <v>12</v>
      </c>
      <c r="L43" s="1">
        <f t="shared" si="13"/>
        <v>8</v>
      </c>
      <c r="M43" s="1" t="str">
        <f t="shared" si="6"/>
        <v>1.1.3</v>
      </c>
      <c r="N43">
        <f t="shared" si="7"/>
        <v>0</v>
      </c>
      <c r="P43" s="13">
        <f t="shared" si="9"/>
        <v>8.0909090909090917</v>
      </c>
      <c r="R43">
        <v>9</v>
      </c>
      <c r="S43">
        <v>9</v>
      </c>
      <c r="T43">
        <v>9</v>
      </c>
      <c r="U43">
        <v>8</v>
      </c>
      <c r="V43">
        <v>7</v>
      </c>
      <c r="W43">
        <v>8</v>
      </c>
      <c r="X43">
        <v>10</v>
      </c>
      <c r="Y43">
        <v>8</v>
      </c>
      <c r="Z43">
        <v>4</v>
      </c>
      <c r="AA43">
        <v>8</v>
      </c>
    </row>
    <row r="44" spans="1:27" x14ac:dyDescent="0.25">
      <c r="A44">
        <f t="shared" si="11"/>
        <v>42</v>
      </c>
      <c r="B44" t="str">
        <f t="shared" si="10"/>
        <v>1a3c1</v>
      </c>
      <c r="D44" s="11">
        <v>9</v>
      </c>
      <c r="E44">
        <f t="shared" si="2"/>
        <v>41</v>
      </c>
      <c r="F44">
        <f t="shared" si="1"/>
        <v>9</v>
      </c>
      <c r="G44" s="1" t="str">
        <f t="shared" si="3"/>
        <v>1.1.3.3</v>
      </c>
      <c r="H44" s="1">
        <f t="shared" si="12"/>
        <v>5</v>
      </c>
      <c r="I44" t="str">
        <f t="shared" si="14"/>
        <v>1.1.3.3.1</v>
      </c>
      <c r="J44" t="s">
        <v>137</v>
      </c>
      <c r="L44" s="1">
        <f t="shared" si="13"/>
        <v>10</v>
      </c>
      <c r="M44" s="1" t="str">
        <f t="shared" si="6"/>
        <v>1.1.3.3</v>
      </c>
      <c r="N44">
        <f t="shared" si="7"/>
        <v>0</v>
      </c>
      <c r="P44" s="13">
        <f t="shared" si="9"/>
        <v>7.8181818181818183</v>
      </c>
      <c r="R44">
        <v>9</v>
      </c>
      <c r="S44">
        <v>9</v>
      </c>
      <c r="T44">
        <v>7</v>
      </c>
      <c r="U44">
        <v>7</v>
      </c>
      <c r="V44">
        <v>4</v>
      </c>
      <c r="W44">
        <v>9</v>
      </c>
      <c r="X44">
        <v>9</v>
      </c>
      <c r="Y44">
        <v>7</v>
      </c>
      <c r="Z44">
        <v>7</v>
      </c>
      <c r="AA44">
        <v>9</v>
      </c>
    </row>
    <row r="45" spans="1:27" x14ac:dyDescent="0.25">
      <c r="A45">
        <f t="shared" si="11"/>
        <v>43</v>
      </c>
      <c r="B45" t="str">
        <f t="shared" si="10"/>
        <v>1a3c2</v>
      </c>
      <c r="D45" s="11">
        <v>9</v>
      </c>
      <c r="E45">
        <f t="shared" si="2"/>
        <v>41</v>
      </c>
      <c r="F45">
        <f t="shared" si="1"/>
        <v>9</v>
      </c>
      <c r="G45" s="1" t="str">
        <f t="shared" si="3"/>
        <v>1.1.3.3</v>
      </c>
      <c r="H45" s="1">
        <f t="shared" si="12"/>
        <v>5</v>
      </c>
      <c r="I45" t="str">
        <f t="shared" si="14"/>
        <v>1.1.3.3.2</v>
      </c>
      <c r="J45" t="s">
        <v>138</v>
      </c>
      <c r="L45" s="1">
        <f t="shared" si="13"/>
        <v>10</v>
      </c>
      <c r="M45" s="1" t="str">
        <f t="shared" si="6"/>
        <v>1.1.3.3</v>
      </c>
      <c r="N45">
        <f t="shared" si="7"/>
        <v>0</v>
      </c>
      <c r="P45" s="13">
        <f t="shared" si="9"/>
        <v>9</v>
      </c>
      <c r="R45">
        <v>9</v>
      </c>
      <c r="S45">
        <v>10</v>
      </c>
      <c r="T45">
        <v>9</v>
      </c>
      <c r="U45">
        <v>9</v>
      </c>
      <c r="V45">
        <v>8</v>
      </c>
      <c r="W45">
        <v>10</v>
      </c>
      <c r="X45">
        <v>9</v>
      </c>
      <c r="Y45">
        <v>9</v>
      </c>
      <c r="Z45">
        <v>10</v>
      </c>
      <c r="AA45">
        <v>7</v>
      </c>
    </row>
    <row r="46" spans="1:27" x14ac:dyDescent="0.25">
      <c r="A46">
        <f t="shared" si="11"/>
        <v>44</v>
      </c>
      <c r="B46" t="str">
        <f t="shared" si="10"/>
        <v>1a3c3</v>
      </c>
      <c r="D46" s="11">
        <v>8</v>
      </c>
      <c r="E46">
        <f t="shared" si="2"/>
        <v>41</v>
      </c>
      <c r="F46">
        <f t="shared" si="1"/>
        <v>9</v>
      </c>
      <c r="G46" s="1" t="str">
        <f t="shared" si="3"/>
        <v>1.1.3.3</v>
      </c>
      <c r="H46" s="1">
        <f t="shared" si="12"/>
        <v>5</v>
      </c>
      <c r="I46" t="str">
        <f t="shared" si="14"/>
        <v>1.1.3.3.3</v>
      </c>
      <c r="J46" t="s">
        <v>139</v>
      </c>
      <c r="L46" s="1">
        <f t="shared" si="13"/>
        <v>10</v>
      </c>
      <c r="M46" s="1" t="str">
        <f t="shared" si="6"/>
        <v>1.1.3.3</v>
      </c>
      <c r="N46">
        <f t="shared" si="7"/>
        <v>0</v>
      </c>
      <c r="P46" s="13">
        <f t="shared" si="9"/>
        <v>7.9090909090909092</v>
      </c>
      <c r="R46">
        <v>9</v>
      </c>
      <c r="S46">
        <v>8</v>
      </c>
      <c r="T46">
        <v>8</v>
      </c>
      <c r="U46">
        <v>6</v>
      </c>
      <c r="V46">
        <v>10</v>
      </c>
      <c r="W46">
        <v>8</v>
      </c>
      <c r="X46">
        <v>9</v>
      </c>
      <c r="Y46">
        <v>8</v>
      </c>
      <c r="Z46">
        <v>4</v>
      </c>
      <c r="AA46">
        <v>9</v>
      </c>
    </row>
    <row r="47" spans="1:27" x14ac:dyDescent="0.25">
      <c r="A47">
        <f t="shared" si="11"/>
        <v>45</v>
      </c>
      <c r="B47" t="str">
        <f t="shared" si="10"/>
        <v>1a3c4</v>
      </c>
      <c r="D47" s="11">
        <v>10</v>
      </c>
      <c r="E47">
        <f t="shared" si="2"/>
        <v>41</v>
      </c>
      <c r="F47">
        <f t="shared" si="1"/>
        <v>9</v>
      </c>
      <c r="G47" s="1" t="str">
        <f t="shared" si="3"/>
        <v>1.1.3.3</v>
      </c>
      <c r="H47" s="1">
        <f t="shared" si="12"/>
        <v>5</v>
      </c>
      <c r="I47" t="str">
        <f t="shared" si="14"/>
        <v>1.1.3.3.4</v>
      </c>
      <c r="J47" t="s">
        <v>140</v>
      </c>
      <c r="L47" s="1">
        <f t="shared" si="13"/>
        <v>10</v>
      </c>
      <c r="M47" s="1" t="str">
        <f t="shared" si="6"/>
        <v>1.1.3.3</v>
      </c>
      <c r="N47">
        <f t="shared" si="7"/>
        <v>0</v>
      </c>
      <c r="P47" s="13">
        <f t="shared" si="9"/>
        <v>9.8181818181818183</v>
      </c>
      <c r="R47">
        <v>10</v>
      </c>
      <c r="S47">
        <v>10</v>
      </c>
      <c r="T47">
        <v>10</v>
      </c>
      <c r="U47">
        <v>10</v>
      </c>
      <c r="V47">
        <v>10</v>
      </c>
      <c r="W47">
        <v>10</v>
      </c>
      <c r="X47">
        <v>9</v>
      </c>
      <c r="Y47">
        <v>10</v>
      </c>
      <c r="Z47">
        <v>10</v>
      </c>
      <c r="AA47">
        <v>9</v>
      </c>
    </row>
    <row r="48" spans="1:27" x14ac:dyDescent="0.25">
      <c r="A48">
        <f t="shared" si="11"/>
        <v>46</v>
      </c>
      <c r="B48" t="str">
        <f t="shared" si="10"/>
        <v>1a3c5</v>
      </c>
      <c r="D48" s="11">
        <v>7</v>
      </c>
      <c r="E48">
        <f t="shared" si="2"/>
        <v>41</v>
      </c>
      <c r="F48">
        <f t="shared" si="1"/>
        <v>9</v>
      </c>
      <c r="G48" s="1" t="str">
        <f t="shared" si="3"/>
        <v>1.1.3.3</v>
      </c>
      <c r="H48" s="1">
        <f t="shared" si="12"/>
        <v>5</v>
      </c>
      <c r="I48" t="str">
        <f t="shared" si="14"/>
        <v>1.1.3.3.5</v>
      </c>
      <c r="J48" t="s">
        <v>141</v>
      </c>
      <c r="L48" s="1">
        <f t="shared" si="13"/>
        <v>10</v>
      </c>
      <c r="M48" s="1" t="str">
        <f t="shared" si="6"/>
        <v>1.1.3.3</v>
      </c>
      <c r="N48">
        <f t="shared" si="7"/>
        <v>0</v>
      </c>
      <c r="P48" s="13">
        <f t="shared" si="9"/>
        <v>7.0909090909090908</v>
      </c>
      <c r="R48">
        <v>8</v>
      </c>
      <c r="S48">
        <v>7</v>
      </c>
      <c r="T48">
        <v>7</v>
      </c>
      <c r="U48">
        <v>7</v>
      </c>
      <c r="V48">
        <v>8</v>
      </c>
      <c r="W48">
        <v>6</v>
      </c>
      <c r="X48">
        <v>7</v>
      </c>
      <c r="Y48">
        <v>9</v>
      </c>
      <c r="Z48">
        <v>3</v>
      </c>
      <c r="AA48">
        <v>9</v>
      </c>
    </row>
    <row r="49" spans="1:27" x14ac:dyDescent="0.25">
      <c r="A49">
        <f t="shared" si="11"/>
        <v>47</v>
      </c>
      <c r="B49" t="str">
        <f t="shared" si="10"/>
        <v>1a3d</v>
      </c>
      <c r="D49" s="3">
        <v>7</v>
      </c>
      <c r="E49">
        <f t="shared" si="2"/>
        <v>18</v>
      </c>
      <c r="F49">
        <f t="shared" si="1"/>
        <v>7</v>
      </c>
      <c r="G49" s="1" t="str">
        <f t="shared" si="3"/>
        <v>1.1.3</v>
      </c>
      <c r="H49" s="1">
        <f t="shared" si="12"/>
        <v>4</v>
      </c>
      <c r="I49" t="str">
        <f t="shared" si="14"/>
        <v>1.1.3.4</v>
      </c>
      <c r="J49" t="s">
        <v>13</v>
      </c>
      <c r="L49" s="1">
        <f t="shared" si="13"/>
        <v>8</v>
      </c>
      <c r="M49" s="1" t="str">
        <f t="shared" si="6"/>
        <v>1.1.3</v>
      </c>
      <c r="N49">
        <f t="shared" si="7"/>
        <v>0</v>
      </c>
      <c r="P49" s="13">
        <f t="shared" si="9"/>
        <v>6.6363636363636367</v>
      </c>
      <c r="R49">
        <v>7</v>
      </c>
      <c r="S49">
        <v>8</v>
      </c>
      <c r="T49">
        <v>6</v>
      </c>
      <c r="U49">
        <v>6</v>
      </c>
      <c r="V49">
        <v>4</v>
      </c>
      <c r="W49">
        <v>6</v>
      </c>
      <c r="X49">
        <v>7</v>
      </c>
      <c r="Y49">
        <v>5</v>
      </c>
      <c r="Z49">
        <v>10</v>
      </c>
      <c r="AA49">
        <v>7</v>
      </c>
    </row>
    <row r="50" spans="1:27" x14ac:dyDescent="0.25">
      <c r="A50">
        <f t="shared" si="11"/>
        <v>48</v>
      </c>
      <c r="B50" t="str">
        <f t="shared" si="10"/>
        <v>1a3d1</v>
      </c>
      <c r="D50" s="11">
        <v>9</v>
      </c>
      <c r="E50">
        <f t="shared" si="2"/>
        <v>47</v>
      </c>
      <c r="F50">
        <f t="shared" si="1"/>
        <v>9</v>
      </c>
      <c r="G50" s="1" t="str">
        <f t="shared" si="3"/>
        <v>1.1.3.4</v>
      </c>
      <c r="H50" s="1">
        <f t="shared" si="12"/>
        <v>5</v>
      </c>
      <c r="I50" t="str">
        <f t="shared" si="14"/>
        <v>1.1.3.4.1</v>
      </c>
      <c r="J50" t="s">
        <v>142</v>
      </c>
      <c r="L50" s="1">
        <f t="shared" si="13"/>
        <v>10</v>
      </c>
      <c r="M50" s="1" t="str">
        <f t="shared" si="6"/>
        <v>1.1.3.4</v>
      </c>
      <c r="N50">
        <f t="shared" si="7"/>
        <v>0</v>
      </c>
      <c r="P50" s="13">
        <f t="shared" si="9"/>
        <v>7.9090909090909092</v>
      </c>
      <c r="R50">
        <v>9</v>
      </c>
      <c r="S50">
        <v>9</v>
      </c>
      <c r="T50">
        <v>5</v>
      </c>
      <c r="U50">
        <v>9</v>
      </c>
      <c r="V50">
        <v>9</v>
      </c>
      <c r="W50">
        <v>9</v>
      </c>
      <c r="X50">
        <v>7</v>
      </c>
      <c r="Y50">
        <v>8</v>
      </c>
      <c r="Z50">
        <v>4</v>
      </c>
      <c r="AA50">
        <v>9</v>
      </c>
    </row>
    <row r="51" spans="1:27" x14ac:dyDescent="0.25">
      <c r="A51">
        <f t="shared" si="11"/>
        <v>49</v>
      </c>
      <c r="B51" t="str">
        <f t="shared" si="10"/>
        <v>1a3d2</v>
      </c>
      <c r="D51" s="11">
        <v>7</v>
      </c>
      <c r="E51">
        <f t="shared" si="2"/>
        <v>47</v>
      </c>
      <c r="F51">
        <f t="shared" si="1"/>
        <v>9</v>
      </c>
      <c r="G51" s="1" t="str">
        <f t="shared" si="3"/>
        <v>1.1.3.4</v>
      </c>
      <c r="H51" s="1">
        <f t="shared" si="12"/>
        <v>5</v>
      </c>
      <c r="I51" t="str">
        <f t="shared" si="14"/>
        <v>1.1.3.4.2</v>
      </c>
      <c r="J51" t="s">
        <v>143</v>
      </c>
      <c r="L51" s="1">
        <f t="shared" si="13"/>
        <v>10</v>
      </c>
      <c r="M51" s="1" t="str">
        <f t="shared" si="6"/>
        <v>1.1.3.4</v>
      </c>
      <c r="N51">
        <f t="shared" si="7"/>
        <v>0</v>
      </c>
      <c r="P51" s="13">
        <f t="shared" si="9"/>
        <v>7.0909090909090908</v>
      </c>
      <c r="R51">
        <v>7</v>
      </c>
      <c r="S51">
        <v>9</v>
      </c>
      <c r="T51">
        <v>10</v>
      </c>
      <c r="U51">
        <v>6</v>
      </c>
      <c r="V51">
        <v>2</v>
      </c>
      <c r="W51">
        <v>7</v>
      </c>
      <c r="X51">
        <v>6</v>
      </c>
      <c r="Y51">
        <v>8</v>
      </c>
      <c r="Z51">
        <v>9</v>
      </c>
      <c r="AA51">
        <v>7</v>
      </c>
    </row>
    <row r="52" spans="1:27" x14ac:dyDescent="0.25">
      <c r="A52">
        <f t="shared" si="11"/>
        <v>50</v>
      </c>
      <c r="B52" t="str">
        <f t="shared" si="10"/>
        <v>1a3d3</v>
      </c>
      <c r="D52" s="11">
        <v>8</v>
      </c>
      <c r="E52">
        <f t="shared" si="2"/>
        <v>47</v>
      </c>
      <c r="F52">
        <f t="shared" si="1"/>
        <v>9</v>
      </c>
      <c r="G52" s="1" t="str">
        <f t="shared" si="3"/>
        <v>1.1.3.4</v>
      </c>
      <c r="H52" s="1">
        <f t="shared" si="12"/>
        <v>5</v>
      </c>
      <c r="I52" t="str">
        <f t="shared" si="14"/>
        <v>1.1.3.4.3</v>
      </c>
      <c r="J52" t="s">
        <v>144</v>
      </c>
      <c r="L52" s="1">
        <f t="shared" si="13"/>
        <v>10</v>
      </c>
      <c r="M52" s="1" t="str">
        <f t="shared" si="6"/>
        <v>1.1.3.4</v>
      </c>
      <c r="N52">
        <f t="shared" si="7"/>
        <v>0</v>
      </c>
      <c r="P52" s="13">
        <f t="shared" si="9"/>
        <v>7.4545454545454541</v>
      </c>
      <c r="R52">
        <v>8</v>
      </c>
      <c r="S52">
        <v>8</v>
      </c>
      <c r="T52">
        <v>10</v>
      </c>
      <c r="U52">
        <v>7</v>
      </c>
      <c r="V52">
        <v>10</v>
      </c>
      <c r="W52">
        <v>7</v>
      </c>
      <c r="X52">
        <v>7</v>
      </c>
      <c r="Y52">
        <v>7</v>
      </c>
      <c r="Z52">
        <v>3</v>
      </c>
      <c r="AA52">
        <v>7</v>
      </c>
    </row>
    <row r="53" spans="1:27" x14ac:dyDescent="0.25">
      <c r="A53">
        <f t="shared" si="11"/>
        <v>51</v>
      </c>
      <c r="B53" t="str">
        <f t="shared" si="10"/>
        <v>1a3d4</v>
      </c>
      <c r="D53" s="11">
        <v>10</v>
      </c>
      <c r="E53">
        <f t="shared" si="2"/>
        <v>47</v>
      </c>
      <c r="F53">
        <f t="shared" si="1"/>
        <v>9</v>
      </c>
      <c r="G53" s="1" t="str">
        <f t="shared" si="3"/>
        <v>1.1.3.4</v>
      </c>
      <c r="H53" s="1">
        <f t="shared" si="12"/>
        <v>5</v>
      </c>
      <c r="I53" t="str">
        <f t="shared" si="14"/>
        <v>1.1.3.4.4</v>
      </c>
      <c r="J53" t="s">
        <v>145</v>
      </c>
      <c r="L53" s="1">
        <f t="shared" si="13"/>
        <v>10</v>
      </c>
      <c r="M53" s="1" t="str">
        <f t="shared" si="6"/>
        <v>1.1.3.4</v>
      </c>
      <c r="N53">
        <f t="shared" si="7"/>
        <v>0</v>
      </c>
      <c r="P53" s="13">
        <f t="shared" si="9"/>
        <v>9.3636363636363633</v>
      </c>
      <c r="R53">
        <v>10</v>
      </c>
      <c r="S53">
        <v>10</v>
      </c>
      <c r="T53">
        <v>10</v>
      </c>
      <c r="U53">
        <v>9</v>
      </c>
      <c r="V53">
        <v>7</v>
      </c>
      <c r="W53">
        <v>9</v>
      </c>
      <c r="X53">
        <v>10</v>
      </c>
      <c r="Y53">
        <v>10</v>
      </c>
      <c r="Z53">
        <v>10</v>
      </c>
      <c r="AA53">
        <v>8</v>
      </c>
    </row>
    <row r="54" spans="1:27" x14ac:dyDescent="0.25">
      <c r="A54">
        <f t="shared" si="11"/>
        <v>52</v>
      </c>
      <c r="B54" t="str">
        <f t="shared" si="10"/>
        <v>1a3d5</v>
      </c>
      <c r="D54" s="11">
        <v>7</v>
      </c>
      <c r="E54">
        <f t="shared" si="2"/>
        <v>47</v>
      </c>
      <c r="F54">
        <f t="shared" si="1"/>
        <v>9</v>
      </c>
      <c r="G54" s="1" t="str">
        <f t="shared" si="3"/>
        <v>1.1.3.4</v>
      </c>
      <c r="H54" s="1">
        <f t="shared" si="12"/>
        <v>5</v>
      </c>
      <c r="I54" t="str">
        <f t="shared" si="14"/>
        <v>1.1.3.4.5</v>
      </c>
      <c r="J54" t="s">
        <v>146</v>
      </c>
      <c r="L54" s="1">
        <f t="shared" si="13"/>
        <v>10</v>
      </c>
      <c r="M54" s="1" t="str">
        <f t="shared" si="6"/>
        <v>1.1.3.4</v>
      </c>
      <c r="N54">
        <f t="shared" si="7"/>
        <v>0</v>
      </c>
      <c r="P54" s="13">
        <f t="shared" si="9"/>
        <v>7.1818181818181817</v>
      </c>
      <c r="R54">
        <v>7</v>
      </c>
      <c r="S54">
        <v>6</v>
      </c>
      <c r="T54">
        <v>8</v>
      </c>
      <c r="U54">
        <v>5</v>
      </c>
      <c r="V54">
        <v>9</v>
      </c>
      <c r="W54">
        <v>5</v>
      </c>
      <c r="X54">
        <v>7</v>
      </c>
      <c r="Y54">
        <v>8</v>
      </c>
      <c r="Z54">
        <v>8</v>
      </c>
      <c r="AA54">
        <v>9</v>
      </c>
    </row>
    <row r="55" spans="1:27" x14ac:dyDescent="0.25">
      <c r="A55">
        <f t="shared" si="11"/>
        <v>53</v>
      </c>
      <c r="B55" t="str">
        <f t="shared" si="10"/>
        <v>1a3e</v>
      </c>
      <c r="D55" s="3">
        <v>9</v>
      </c>
      <c r="E55">
        <f t="shared" si="2"/>
        <v>18</v>
      </c>
      <c r="F55">
        <f t="shared" si="1"/>
        <v>7</v>
      </c>
      <c r="G55" s="1" t="str">
        <f t="shared" si="3"/>
        <v>1.1.3</v>
      </c>
      <c r="H55" s="1">
        <f t="shared" si="12"/>
        <v>4</v>
      </c>
      <c r="I55" t="str">
        <f t="shared" si="14"/>
        <v>1.1.3.5</v>
      </c>
      <c r="J55" t="s">
        <v>14</v>
      </c>
      <c r="L55" s="1">
        <f t="shared" si="13"/>
        <v>8</v>
      </c>
      <c r="M55" s="1" t="str">
        <f t="shared" si="6"/>
        <v>1.1.3</v>
      </c>
      <c r="N55">
        <f t="shared" si="7"/>
        <v>0</v>
      </c>
      <c r="P55" s="13">
        <f t="shared" si="9"/>
        <v>8.6363636363636367</v>
      </c>
      <c r="R55">
        <v>9</v>
      </c>
      <c r="S55">
        <v>5</v>
      </c>
      <c r="T55">
        <v>9</v>
      </c>
      <c r="U55">
        <v>10</v>
      </c>
      <c r="V55">
        <v>7</v>
      </c>
      <c r="W55">
        <v>10</v>
      </c>
      <c r="X55">
        <v>9</v>
      </c>
      <c r="Y55">
        <v>9</v>
      </c>
      <c r="Z55">
        <v>9</v>
      </c>
      <c r="AA55">
        <v>9</v>
      </c>
    </row>
    <row r="56" spans="1:27" x14ac:dyDescent="0.25">
      <c r="A56">
        <f t="shared" si="11"/>
        <v>54</v>
      </c>
      <c r="B56" t="str">
        <f t="shared" si="10"/>
        <v>1a3e1</v>
      </c>
      <c r="D56" s="11">
        <v>9</v>
      </c>
      <c r="E56">
        <f t="shared" si="2"/>
        <v>53</v>
      </c>
      <c r="F56">
        <f t="shared" si="1"/>
        <v>9</v>
      </c>
      <c r="G56" s="1" t="str">
        <f t="shared" si="3"/>
        <v>1.1.3.5</v>
      </c>
      <c r="H56" s="1">
        <f t="shared" si="12"/>
        <v>5</v>
      </c>
      <c r="I56" t="str">
        <f t="shared" si="14"/>
        <v>1.1.3.5.1</v>
      </c>
      <c r="J56" t="s">
        <v>147</v>
      </c>
      <c r="L56" s="1">
        <f t="shared" si="13"/>
        <v>10</v>
      </c>
      <c r="M56" s="1" t="str">
        <f t="shared" si="6"/>
        <v>1.1.3.5</v>
      </c>
      <c r="N56">
        <f t="shared" si="7"/>
        <v>0</v>
      </c>
      <c r="P56" s="13">
        <f t="shared" si="9"/>
        <v>9.0909090909090917</v>
      </c>
      <c r="R56">
        <v>9</v>
      </c>
      <c r="S56">
        <v>10</v>
      </c>
      <c r="T56">
        <v>10</v>
      </c>
      <c r="U56">
        <v>10</v>
      </c>
      <c r="V56">
        <v>6</v>
      </c>
      <c r="W56">
        <v>9</v>
      </c>
      <c r="X56">
        <v>9</v>
      </c>
      <c r="Y56">
        <v>10</v>
      </c>
      <c r="Z56">
        <v>8</v>
      </c>
      <c r="AA56">
        <v>10</v>
      </c>
    </row>
    <row r="57" spans="1:27" x14ac:dyDescent="0.25">
      <c r="A57">
        <f t="shared" si="11"/>
        <v>55</v>
      </c>
      <c r="B57" t="str">
        <f t="shared" si="10"/>
        <v>1a3e2</v>
      </c>
      <c r="D57" s="11">
        <v>10</v>
      </c>
      <c r="E57">
        <f t="shared" si="2"/>
        <v>53</v>
      </c>
      <c r="F57">
        <f t="shared" si="1"/>
        <v>9</v>
      </c>
      <c r="G57" s="1" t="str">
        <f t="shared" si="3"/>
        <v>1.1.3.5</v>
      </c>
      <c r="H57" s="1">
        <f t="shared" si="12"/>
        <v>5</v>
      </c>
      <c r="I57" t="str">
        <f t="shared" si="14"/>
        <v>1.1.3.5.2</v>
      </c>
      <c r="J57" t="s">
        <v>148</v>
      </c>
      <c r="L57" s="1">
        <f t="shared" si="13"/>
        <v>10</v>
      </c>
      <c r="M57" s="1" t="str">
        <f t="shared" si="6"/>
        <v>1.1.3.5</v>
      </c>
      <c r="N57">
        <f t="shared" si="7"/>
        <v>0</v>
      </c>
      <c r="P57" s="13">
        <f t="shared" si="9"/>
        <v>9.9090909090909083</v>
      </c>
      <c r="R57">
        <v>10</v>
      </c>
      <c r="S57">
        <v>10</v>
      </c>
      <c r="T57">
        <v>10</v>
      </c>
      <c r="U57">
        <v>10</v>
      </c>
      <c r="V57">
        <v>10</v>
      </c>
      <c r="W57">
        <v>10</v>
      </c>
      <c r="X57">
        <v>10</v>
      </c>
      <c r="Y57">
        <v>10</v>
      </c>
      <c r="Z57">
        <v>10</v>
      </c>
      <c r="AA57">
        <v>9</v>
      </c>
    </row>
    <row r="58" spans="1:27" x14ac:dyDescent="0.25">
      <c r="A58">
        <f t="shared" si="11"/>
        <v>56</v>
      </c>
      <c r="B58" t="str">
        <f t="shared" si="10"/>
        <v>1a3e3</v>
      </c>
      <c r="D58" s="11">
        <v>7</v>
      </c>
      <c r="E58">
        <f t="shared" si="2"/>
        <v>53</v>
      </c>
      <c r="F58">
        <f t="shared" si="1"/>
        <v>9</v>
      </c>
      <c r="G58" s="1" t="str">
        <f t="shared" si="3"/>
        <v>1.1.3.5</v>
      </c>
      <c r="H58" s="1">
        <f t="shared" si="12"/>
        <v>5</v>
      </c>
      <c r="I58" t="str">
        <f t="shared" si="14"/>
        <v>1.1.3.5.3</v>
      </c>
      <c r="J58" t="s">
        <v>149</v>
      </c>
      <c r="L58" s="1">
        <f t="shared" si="13"/>
        <v>10</v>
      </c>
      <c r="M58" s="1" t="str">
        <f t="shared" si="6"/>
        <v>1.1.3.5</v>
      </c>
      <c r="N58">
        <f t="shared" si="7"/>
        <v>0</v>
      </c>
      <c r="P58" s="13">
        <f t="shared" si="9"/>
        <v>6.5454545454545459</v>
      </c>
      <c r="R58">
        <v>6</v>
      </c>
      <c r="S58">
        <v>4</v>
      </c>
      <c r="T58">
        <v>8</v>
      </c>
      <c r="U58">
        <v>7</v>
      </c>
      <c r="V58">
        <v>7</v>
      </c>
      <c r="W58">
        <v>7</v>
      </c>
      <c r="X58">
        <v>7</v>
      </c>
      <c r="Y58">
        <v>8</v>
      </c>
      <c r="Z58">
        <v>5</v>
      </c>
      <c r="AA58">
        <v>6</v>
      </c>
    </row>
    <row r="59" spans="1:27" x14ac:dyDescent="0.25">
      <c r="A59">
        <f t="shared" si="11"/>
        <v>57</v>
      </c>
      <c r="B59" t="str">
        <f t="shared" si="10"/>
        <v>1a3f</v>
      </c>
      <c r="D59" s="3">
        <v>7</v>
      </c>
      <c r="E59">
        <f t="shared" si="2"/>
        <v>18</v>
      </c>
      <c r="F59">
        <f t="shared" si="1"/>
        <v>7</v>
      </c>
      <c r="G59" s="1" t="str">
        <f t="shared" si="3"/>
        <v>1.1.3</v>
      </c>
      <c r="H59" s="1">
        <f t="shared" si="12"/>
        <v>4</v>
      </c>
      <c r="I59" t="str">
        <f t="shared" si="14"/>
        <v>1.1.3.6</v>
      </c>
      <c r="J59" t="s">
        <v>15</v>
      </c>
      <c r="L59" s="1">
        <f t="shared" si="13"/>
        <v>8</v>
      </c>
      <c r="M59" s="1" t="str">
        <f t="shared" si="6"/>
        <v>1.1.3</v>
      </c>
      <c r="N59">
        <f t="shared" si="7"/>
        <v>0</v>
      </c>
      <c r="P59" s="13">
        <f t="shared" si="9"/>
        <v>7.8181818181818183</v>
      </c>
      <c r="R59">
        <v>8</v>
      </c>
      <c r="S59">
        <v>7</v>
      </c>
      <c r="T59">
        <v>8</v>
      </c>
      <c r="U59">
        <v>7</v>
      </c>
      <c r="V59">
        <v>7</v>
      </c>
      <c r="W59">
        <v>8</v>
      </c>
      <c r="X59">
        <v>6</v>
      </c>
      <c r="Y59">
        <v>10</v>
      </c>
      <c r="Z59">
        <v>10</v>
      </c>
      <c r="AA59">
        <v>8</v>
      </c>
    </row>
    <row r="60" spans="1:27" x14ac:dyDescent="0.25">
      <c r="A60">
        <f t="shared" si="11"/>
        <v>58</v>
      </c>
      <c r="B60" t="str">
        <f t="shared" si="10"/>
        <v>1a3f1</v>
      </c>
      <c r="D60" s="11">
        <v>9</v>
      </c>
      <c r="E60">
        <f t="shared" si="2"/>
        <v>57</v>
      </c>
      <c r="F60">
        <f t="shared" si="1"/>
        <v>9</v>
      </c>
      <c r="G60" s="1" t="str">
        <f t="shared" si="3"/>
        <v>1.1.3.6</v>
      </c>
      <c r="H60" s="1">
        <f t="shared" si="12"/>
        <v>5</v>
      </c>
      <c r="I60" t="str">
        <f t="shared" si="14"/>
        <v>1.1.3.6.1</v>
      </c>
      <c r="J60" t="s">
        <v>150</v>
      </c>
      <c r="L60" s="1">
        <f t="shared" si="13"/>
        <v>10</v>
      </c>
      <c r="M60" s="1" t="str">
        <f t="shared" si="6"/>
        <v>1.1.3.6</v>
      </c>
      <c r="N60">
        <f t="shared" si="7"/>
        <v>0</v>
      </c>
      <c r="P60" s="13">
        <f t="shared" si="9"/>
        <v>9</v>
      </c>
      <c r="R60">
        <v>9</v>
      </c>
      <c r="S60">
        <v>8</v>
      </c>
      <c r="T60">
        <v>10</v>
      </c>
      <c r="U60">
        <v>10</v>
      </c>
      <c r="V60">
        <v>10</v>
      </c>
      <c r="W60">
        <v>9</v>
      </c>
      <c r="X60">
        <v>7</v>
      </c>
      <c r="Y60">
        <v>8</v>
      </c>
      <c r="Z60">
        <v>10</v>
      </c>
      <c r="AA60">
        <v>9</v>
      </c>
    </row>
    <row r="61" spans="1:27" x14ac:dyDescent="0.25">
      <c r="A61">
        <f t="shared" si="11"/>
        <v>59</v>
      </c>
      <c r="B61" t="str">
        <f t="shared" si="10"/>
        <v>1a3f2</v>
      </c>
      <c r="D61" s="11">
        <v>10</v>
      </c>
      <c r="E61">
        <f t="shared" si="2"/>
        <v>57</v>
      </c>
      <c r="F61">
        <f t="shared" si="1"/>
        <v>9</v>
      </c>
      <c r="G61" s="1" t="str">
        <f t="shared" si="3"/>
        <v>1.1.3.6</v>
      </c>
      <c r="H61" s="1">
        <f t="shared" si="12"/>
        <v>5</v>
      </c>
      <c r="I61" t="str">
        <f t="shared" si="14"/>
        <v>1.1.3.6.2</v>
      </c>
      <c r="J61" t="s">
        <v>151</v>
      </c>
      <c r="L61" s="1">
        <f t="shared" si="13"/>
        <v>10</v>
      </c>
      <c r="M61" s="1" t="str">
        <f t="shared" si="6"/>
        <v>1.1.3.6</v>
      </c>
      <c r="N61">
        <f t="shared" si="7"/>
        <v>0</v>
      </c>
      <c r="P61" s="13">
        <f t="shared" si="9"/>
        <v>9.2727272727272734</v>
      </c>
      <c r="R61">
        <v>10</v>
      </c>
      <c r="S61">
        <v>9</v>
      </c>
      <c r="T61">
        <v>7</v>
      </c>
      <c r="U61">
        <v>10</v>
      </c>
      <c r="V61">
        <v>9</v>
      </c>
      <c r="W61">
        <v>9</v>
      </c>
      <c r="X61">
        <v>9</v>
      </c>
      <c r="Y61">
        <v>9</v>
      </c>
      <c r="Z61">
        <v>10</v>
      </c>
      <c r="AA61">
        <v>10</v>
      </c>
    </row>
    <row r="62" spans="1:27" x14ac:dyDescent="0.25">
      <c r="A62">
        <f t="shared" si="11"/>
        <v>60</v>
      </c>
      <c r="B62" t="str">
        <f t="shared" si="10"/>
        <v>1a3f3</v>
      </c>
      <c r="D62" s="11">
        <v>7</v>
      </c>
      <c r="E62">
        <f t="shared" si="2"/>
        <v>57</v>
      </c>
      <c r="F62">
        <f t="shared" si="1"/>
        <v>9</v>
      </c>
      <c r="G62" s="1" t="str">
        <f t="shared" si="3"/>
        <v>1.1.3.6</v>
      </c>
      <c r="H62" s="1">
        <f t="shared" si="12"/>
        <v>5</v>
      </c>
      <c r="I62" t="str">
        <f t="shared" si="14"/>
        <v>1.1.3.6.3</v>
      </c>
      <c r="J62" t="s">
        <v>152</v>
      </c>
      <c r="L62" s="1">
        <f t="shared" si="13"/>
        <v>10</v>
      </c>
      <c r="M62" s="1" t="str">
        <f t="shared" si="6"/>
        <v>1.1.3.6</v>
      </c>
      <c r="N62">
        <f t="shared" si="7"/>
        <v>0</v>
      </c>
      <c r="P62" s="13">
        <f t="shared" si="9"/>
        <v>6.1818181818181817</v>
      </c>
      <c r="R62">
        <v>6</v>
      </c>
      <c r="S62">
        <v>7</v>
      </c>
      <c r="T62">
        <v>6</v>
      </c>
      <c r="U62">
        <v>6</v>
      </c>
      <c r="V62">
        <v>9</v>
      </c>
      <c r="W62">
        <v>8</v>
      </c>
      <c r="X62">
        <v>7</v>
      </c>
      <c r="Y62">
        <v>6</v>
      </c>
      <c r="Z62">
        <v>0</v>
      </c>
      <c r="AA62">
        <v>6</v>
      </c>
    </row>
    <row r="63" spans="1:27" x14ac:dyDescent="0.25">
      <c r="A63">
        <f t="shared" si="11"/>
        <v>61</v>
      </c>
      <c r="B63" t="str">
        <f t="shared" si="10"/>
        <v>1a3g</v>
      </c>
      <c r="D63" s="3">
        <v>6</v>
      </c>
      <c r="E63">
        <f t="shared" si="2"/>
        <v>18</v>
      </c>
      <c r="F63">
        <f t="shared" si="1"/>
        <v>7</v>
      </c>
      <c r="G63" s="1" t="str">
        <f t="shared" si="3"/>
        <v>1.1.3</v>
      </c>
      <c r="H63" s="1">
        <f t="shared" si="12"/>
        <v>4</v>
      </c>
      <c r="I63" t="str">
        <f t="shared" si="14"/>
        <v>1.1.3.7</v>
      </c>
      <c r="J63" t="s">
        <v>16</v>
      </c>
      <c r="L63" s="1">
        <f t="shared" si="13"/>
        <v>8</v>
      </c>
      <c r="M63" s="1" t="str">
        <f t="shared" si="6"/>
        <v>1.1.3</v>
      </c>
      <c r="N63">
        <f t="shared" si="7"/>
        <v>0</v>
      </c>
      <c r="P63" s="13">
        <f t="shared" si="9"/>
        <v>6.5454545454545459</v>
      </c>
      <c r="R63">
        <v>6</v>
      </c>
      <c r="S63">
        <v>5</v>
      </c>
      <c r="T63">
        <v>8</v>
      </c>
      <c r="U63">
        <v>5</v>
      </c>
      <c r="V63">
        <v>7</v>
      </c>
      <c r="W63">
        <v>6</v>
      </c>
      <c r="X63">
        <v>7</v>
      </c>
      <c r="Y63">
        <v>6</v>
      </c>
      <c r="Z63">
        <v>10</v>
      </c>
      <c r="AA63">
        <v>6</v>
      </c>
    </row>
    <row r="64" spans="1:27" x14ac:dyDescent="0.25">
      <c r="A64">
        <f t="shared" si="11"/>
        <v>62</v>
      </c>
      <c r="B64" t="str">
        <f t="shared" si="10"/>
        <v>1a3g1</v>
      </c>
      <c r="D64" s="11">
        <v>7</v>
      </c>
      <c r="E64">
        <f t="shared" si="2"/>
        <v>61</v>
      </c>
      <c r="F64">
        <f t="shared" si="1"/>
        <v>9</v>
      </c>
      <c r="G64" s="1" t="str">
        <f t="shared" si="3"/>
        <v>1.1.3.7</v>
      </c>
      <c r="H64" s="1">
        <f t="shared" si="12"/>
        <v>5</v>
      </c>
      <c r="I64" t="str">
        <f t="shared" si="14"/>
        <v>1.1.3.7.1</v>
      </c>
      <c r="J64" t="s">
        <v>153</v>
      </c>
      <c r="L64" s="1">
        <f t="shared" si="13"/>
        <v>10</v>
      </c>
      <c r="M64" s="1" t="str">
        <f t="shared" si="6"/>
        <v>1.1.3.7</v>
      </c>
      <c r="N64">
        <f t="shared" si="7"/>
        <v>0</v>
      </c>
      <c r="P64" s="13">
        <f t="shared" si="9"/>
        <v>7.5454545454545459</v>
      </c>
      <c r="R64">
        <v>8</v>
      </c>
      <c r="S64">
        <v>7</v>
      </c>
      <c r="T64">
        <v>10</v>
      </c>
      <c r="U64">
        <v>8</v>
      </c>
      <c r="V64">
        <v>7</v>
      </c>
      <c r="W64">
        <v>7</v>
      </c>
      <c r="X64">
        <v>6</v>
      </c>
      <c r="Y64">
        <v>7</v>
      </c>
      <c r="Z64">
        <v>9</v>
      </c>
      <c r="AA64">
        <v>7</v>
      </c>
    </row>
    <row r="65" spans="1:27" x14ac:dyDescent="0.25">
      <c r="A65">
        <f t="shared" si="11"/>
        <v>63</v>
      </c>
      <c r="B65" t="str">
        <f t="shared" si="10"/>
        <v>1a3g2</v>
      </c>
      <c r="D65" s="11">
        <v>5</v>
      </c>
      <c r="E65">
        <f t="shared" si="2"/>
        <v>61</v>
      </c>
      <c r="F65">
        <f t="shared" si="1"/>
        <v>9</v>
      </c>
      <c r="G65" s="1" t="str">
        <f t="shared" si="3"/>
        <v>1.1.3.7</v>
      </c>
      <c r="H65" s="1">
        <f t="shared" si="12"/>
        <v>5</v>
      </c>
      <c r="I65" t="str">
        <f t="shared" si="14"/>
        <v>1.1.3.7.2</v>
      </c>
      <c r="J65" t="s">
        <v>154</v>
      </c>
      <c r="L65" s="1">
        <f t="shared" si="13"/>
        <v>10</v>
      </c>
      <c r="M65" s="1" t="str">
        <f t="shared" si="6"/>
        <v>1.1.3.7</v>
      </c>
      <c r="N65">
        <f t="shared" si="7"/>
        <v>0</v>
      </c>
      <c r="P65" s="13">
        <f t="shared" si="9"/>
        <v>4.4545454545454541</v>
      </c>
      <c r="R65">
        <v>5</v>
      </c>
      <c r="S65">
        <v>5</v>
      </c>
      <c r="T65">
        <v>1</v>
      </c>
      <c r="U65">
        <v>6</v>
      </c>
      <c r="V65">
        <v>5</v>
      </c>
      <c r="W65">
        <v>5</v>
      </c>
      <c r="X65">
        <v>6</v>
      </c>
      <c r="Y65">
        <v>4</v>
      </c>
      <c r="Z65">
        <v>3</v>
      </c>
      <c r="AA65">
        <v>4</v>
      </c>
    </row>
    <row r="66" spans="1:27" x14ac:dyDescent="0.25">
      <c r="A66">
        <f t="shared" si="11"/>
        <v>64</v>
      </c>
      <c r="B66" t="str">
        <f t="shared" si="10"/>
        <v>1a3h</v>
      </c>
      <c r="D66" s="3">
        <v>7</v>
      </c>
      <c r="E66">
        <f t="shared" si="2"/>
        <v>18</v>
      </c>
      <c r="F66">
        <f t="shared" ref="F66:F129" si="15">LEN(I66)</f>
        <v>7</v>
      </c>
      <c r="G66" s="1" t="str">
        <f t="shared" si="3"/>
        <v>1.1.3</v>
      </c>
      <c r="H66" s="1">
        <f t="shared" si="12"/>
        <v>4</v>
      </c>
      <c r="I66" t="str">
        <f t="shared" si="14"/>
        <v>1.1.3.8</v>
      </c>
      <c r="J66" t="s">
        <v>17</v>
      </c>
      <c r="L66" s="1">
        <f t="shared" si="13"/>
        <v>8</v>
      </c>
      <c r="M66" s="1" t="str">
        <f t="shared" si="6"/>
        <v>1.1.3</v>
      </c>
      <c r="N66">
        <f t="shared" si="7"/>
        <v>0</v>
      </c>
      <c r="P66" s="13">
        <f t="shared" si="9"/>
        <v>6.7272727272727275</v>
      </c>
      <c r="R66">
        <v>7</v>
      </c>
      <c r="S66">
        <v>7</v>
      </c>
      <c r="T66">
        <v>8</v>
      </c>
      <c r="U66">
        <v>8</v>
      </c>
      <c r="V66">
        <v>10</v>
      </c>
      <c r="W66">
        <v>8</v>
      </c>
      <c r="X66">
        <v>5</v>
      </c>
      <c r="Y66">
        <v>6</v>
      </c>
      <c r="Z66">
        <v>2</v>
      </c>
      <c r="AA66">
        <v>6</v>
      </c>
    </row>
    <row r="67" spans="1:27" x14ac:dyDescent="0.25">
      <c r="A67">
        <f t="shared" si="11"/>
        <v>65</v>
      </c>
      <c r="B67" t="str">
        <f t="shared" si="10"/>
        <v>1a3i</v>
      </c>
      <c r="D67" s="3">
        <v>6</v>
      </c>
      <c r="E67">
        <f t="shared" ref="E67:E130" si="16">MATCH(G67,I$2:I$306,0)-1</f>
        <v>18</v>
      </c>
      <c r="F67">
        <f t="shared" si="15"/>
        <v>7</v>
      </c>
      <c r="G67" s="1" t="str">
        <f t="shared" ref="G67:G130" si="17">IFERROR(LEFT(I67,LEN(I67)-2-N67),0)</f>
        <v>1.1.3</v>
      </c>
      <c r="H67" s="1">
        <f t="shared" si="12"/>
        <v>4</v>
      </c>
      <c r="I67" t="str">
        <f t="shared" si="14"/>
        <v>1.1.3.9</v>
      </c>
      <c r="J67" t="s">
        <v>18</v>
      </c>
      <c r="L67" s="1">
        <f t="shared" si="13"/>
        <v>8</v>
      </c>
      <c r="M67" s="1" t="str">
        <f t="shared" ref="M67:M130" si="18">IFERROR(LEFT(I67,LEN(I67)-2),0)</f>
        <v>1.1.3</v>
      </c>
      <c r="N67">
        <f>IF(RIGHT(M67)=".",1,0)</f>
        <v>0</v>
      </c>
      <c r="P67" s="13">
        <f t="shared" si="9"/>
        <v>6</v>
      </c>
      <c r="R67">
        <v>6</v>
      </c>
      <c r="S67">
        <v>3</v>
      </c>
      <c r="T67">
        <v>5</v>
      </c>
      <c r="U67">
        <v>6</v>
      </c>
      <c r="V67">
        <v>6</v>
      </c>
      <c r="W67">
        <v>5</v>
      </c>
      <c r="X67">
        <v>6</v>
      </c>
      <c r="Y67">
        <v>6</v>
      </c>
      <c r="Z67">
        <v>10</v>
      </c>
      <c r="AA67">
        <v>7</v>
      </c>
    </row>
    <row r="68" spans="1:27" x14ac:dyDescent="0.25">
      <c r="A68">
        <f t="shared" si="11"/>
        <v>66</v>
      </c>
      <c r="B68" t="str">
        <f t="shared" si="10"/>
        <v>1a3i1</v>
      </c>
      <c r="D68" s="11">
        <v>9</v>
      </c>
      <c r="E68">
        <f t="shared" si="16"/>
        <v>65</v>
      </c>
      <c r="F68">
        <f t="shared" si="15"/>
        <v>9</v>
      </c>
      <c r="G68" s="1" t="str">
        <f t="shared" si="17"/>
        <v>1.1.3.9</v>
      </c>
      <c r="H68" s="1">
        <f t="shared" si="12"/>
        <v>5</v>
      </c>
      <c r="I68" t="str">
        <f t="shared" si="14"/>
        <v>1.1.3.9.1</v>
      </c>
      <c r="J68" t="s">
        <v>155</v>
      </c>
      <c r="L68" s="1">
        <f t="shared" si="13"/>
        <v>10</v>
      </c>
      <c r="M68" s="1" t="str">
        <f t="shared" si="18"/>
        <v>1.1.3.9</v>
      </c>
      <c r="N68">
        <f>IF(RIGHT(M68)=".",1,0)</f>
        <v>0</v>
      </c>
      <c r="P68" s="13">
        <f t="shared" ref="P68:P131" si="19">AVERAGE(D68,R68:AA68)</f>
        <v>8.6363636363636367</v>
      </c>
      <c r="R68">
        <v>8</v>
      </c>
      <c r="S68">
        <v>8</v>
      </c>
      <c r="T68">
        <v>7</v>
      </c>
      <c r="U68">
        <v>9</v>
      </c>
      <c r="V68">
        <v>6</v>
      </c>
      <c r="W68">
        <v>10</v>
      </c>
      <c r="X68">
        <v>10</v>
      </c>
      <c r="Y68">
        <v>10</v>
      </c>
      <c r="Z68">
        <v>9</v>
      </c>
      <c r="AA68">
        <v>9</v>
      </c>
    </row>
    <row r="69" spans="1:27" x14ac:dyDescent="0.25">
      <c r="A69">
        <f t="shared" si="11"/>
        <v>67</v>
      </c>
      <c r="B69" t="str">
        <f t="shared" si="10"/>
        <v>1a3i2</v>
      </c>
      <c r="D69" s="11">
        <v>9</v>
      </c>
      <c r="E69">
        <f t="shared" si="16"/>
        <v>65</v>
      </c>
      <c r="F69">
        <f t="shared" si="15"/>
        <v>9</v>
      </c>
      <c r="G69" s="1" t="str">
        <f t="shared" si="17"/>
        <v>1.1.3.9</v>
      </c>
      <c r="H69" s="1">
        <f t="shared" si="12"/>
        <v>5</v>
      </c>
      <c r="I69" t="str">
        <f t="shared" si="14"/>
        <v>1.1.3.9.2</v>
      </c>
      <c r="J69" t="s">
        <v>156</v>
      </c>
      <c r="L69" s="1">
        <f t="shared" si="13"/>
        <v>10</v>
      </c>
      <c r="M69" s="1" t="str">
        <f t="shared" si="18"/>
        <v>1.1.3.9</v>
      </c>
      <c r="N69">
        <f>IF(RIGHT(M69)=".",1,0)</f>
        <v>0</v>
      </c>
      <c r="P69" s="13">
        <f t="shared" si="19"/>
        <v>8.454545454545455</v>
      </c>
      <c r="R69">
        <v>9</v>
      </c>
      <c r="S69">
        <v>10</v>
      </c>
      <c r="T69">
        <v>10</v>
      </c>
      <c r="U69">
        <v>7</v>
      </c>
      <c r="V69">
        <v>4</v>
      </c>
      <c r="W69">
        <v>9</v>
      </c>
      <c r="X69">
        <v>10</v>
      </c>
      <c r="Y69">
        <v>8</v>
      </c>
      <c r="Z69">
        <v>8</v>
      </c>
      <c r="AA69">
        <v>9</v>
      </c>
    </row>
    <row r="70" spans="1:27" x14ac:dyDescent="0.25">
      <c r="A70">
        <f t="shared" si="11"/>
        <v>68</v>
      </c>
      <c r="B70" t="str">
        <f t="shared" ref="B70:B133" si="20">Метка(I70)</f>
        <v>1a3i3</v>
      </c>
      <c r="D70" s="11">
        <v>5</v>
      </c>
      <c r="E70">
        <f t="shared" si="16"/>
        <v>65</v>
      </c>
      <c r="F70">
        <f t="shared" si="15"/>
        <v>9</v>
      </c>
      <c r="G70" s="1" t="str">
        <f t="shared" si="17"/>
        <v>1.1.3.9</v>
      </c>
      <c r="H70" s="1">
        <f t="shared" si="12"/>
        <v>5</v>
      </c>
      <c r="I70" t="str">
        <f t="shared" si="14"/>
        <v>1.1.3.9.3</v>
      </c>
      <c r="J70" t="s">
        <v>157</v>
      </c>
      <c r="L70" s="1">
        <f t="shared" si="13"/>
        <v>10</v>
      </c>
      <c r="M70" s="1" t="str">
        <f t="shared" si="18"/>
        <v>1.1.3.9</v>
      </c>
      <c r="N70">
        <f>IF(RIGHT(M70)=".",1,0)</f>
        <v>0</v>
      </c>
      <c r="P70" s="13">
        <f t="shared" si="19"/>
        <v>4.9090909090909092</v>
      </c>
      <c r="R70">
        <v>4</v>
      </c>
      <c r="S70">
        <v>5</v>
      </c>
      <c r="T70">
        <v>6</v>
      </c>
      <c r="U70">
        <v>5</v>
      </c>
      <c r="V70">
        <v>10</v>
      </c>
      <c r="W70">
        <v>3</v>
      </c>
      <c r="X70">
        <v>4</v>
      </c>
      <c r="Y70">
        <v>4</v>
      </c>
      <c r="Z70">
        <v>2</v>
      </c>
      <c r="AA70">
        <v>6</v>
      </c>
    </row>
    <row r="71" spans="1:27" x14ac:dyDescent="0.25">
      <c r="A71">
        <f t="shared" si="11"/>
        <v>69</v>
      </c>
      <c r="B71" t="str">
        <f t="shared" si="20"/>
        <v>1a3j</v>
      </c>
      <c r="D71" s="3">
        <v>7</v>
      </c>
      <c r="E71">
        <f t="shared" si="16"/>
        <v>18</v>
      </c>
      <c r="F71">
        <f t="shared" si="15"/>
        <v>8</v>
      </c>
      <c r="G71" s="1" t="str">
        <f t="shared" si="17"/>
        <v>1.1.3</v>
      </c>
      <c r="H71" s="1">
        <f t="shared" si="12"/>
        <v>4</v>
      </c>
      <c r="I71" t="str">
        <f t="shared" si="14"/>
        <v>1.1.3.10</v>
      </c>
      <c r="J71" t="s">
        <v>158</v>
      </c>
      <c r="L71" s="1">
        <f t="shared" si="13"/>
        <v>9</v>
      </c>
      <c r="M71" s="1" t="str">
        <f t="shared" si="18"/>
        <v>1.1.3.</v>
      </c>
      <c r="N71">
        <f>IF(RIGHT(M71)=".",1,0)</f>
        <v>1</v>
      </c>
      <c r="P71" s="13">
        <f t="shared" si="19"/>
        <v>6.9090909090909092</v>
      </c>
      <c r="R71">
        <v>7</v>
      </c>
      <c r="S71">
        <v>7</v>
      </c>
      <c r="T71">
        <v>7</v>
      </c>
      <c r="U71">
        <v>9</v>
      </c>
      <c r="V71">
        <v>5</v>
      </c>
      <c r="W71">
        <v>6</v>
      </c>
      <c r="X71">
        <v>8</v>
      </c>
      <c r="Y71">
        <v>8</v>
      </c>
      <c r="Z71">
        <v>4</v>
      </c>
      <c r="AA71">
        <v>8</v>
      </c>
    </row>
    <row r="72" spans="1:27" x14ac:dyDescent="0.25">
      <c r="A72">
        <f t="shared" si="11"/>
        <v>70</v>
      </c>
      <c r="B72" t="str">
        <f t="shared" si="20"/>
        <v>1a3k</v>
      </c>
      <c r="D72" s="3">
        <v>7</v>
      </c>
      <c r="E72">
        <f t="shared" si="16"/>
        <v>18</v>
      </c>
      <c r="F72">
        <f t="shared" si="15"/>
        <v>8</v>
      </c>
      <c r="G72" s="1" t="str">
        <f t="shared" si="17"/>
        <v>1.1.3</v>
      </c>
      <c r="H72" s="1">
        <f t="shared" si="12"/>
        <v>4</v>
      </c>
      <c r="I72" t="str">
        <f t="shared" si="14"/>
        <v>1.1.3.11</v>
      </c>
      <c r="J72" t="s">
        <v>159</v>
      </c>
      <c r="L72" s="1">
        <f t="shared" si="13"/>
        <v>9</v>
      </c>
      <c r="M72" s="1" t="str">
        <f t="shared" si="18"/>
        <v>1.1.3.</v>
      </c>
      <c r="N72">
        <f t="shared" ref="N72:N135" si="21">IF(RIGHT(M72)=".",1,0)</f>
        <v>1</v>
      </c>
      <c r="P72" s="13">
        <f t="shared" si="19"/>
        <v>6.9090909090909092</v>
      </c>
      <c r="R72">
        <v>9</v>
      </c>
      <c r="S72">
        <v>6</v>
      </c>
      <c r="T72">
        <v>7</v>
      </c>
      <c r="U72">
        <v>7</v>
      </c>
      <c r="V72">
        <v>2</v>
      </c>
      <c r="W72">
        <v>7</v>
      </c>
      <c r="X72">
        <v>8</v>
      </c>
      <c r="Y72">
        <v>6</v>
      </c>
      <c r="Z72">
        <v>10</v>
      </c>
      <c r="AA72">
        <v>7</v>
      </c>
    </row>
    <row r="73" spans="1:27" x14ac:dyDescent="0.25">
      <c r="A73">
        <f t="shared" si="11"/>
        <v>71</v>
      </c>
      <c r="B73" t="str">
        <f t="shared" si="20"/>
        <v>1a3l</v>
      </c>
      <c r="D73" s="3">
        <v>5</v>
      </c>
      <c r="E73">
        <f t="shared" si="16"/>
        <v>18</v>
      </c>
      <c r="F73">
        <f t="shared" si="15"/>
        <v>8</v>
      </c>
      <c r="G73" s="1" t="str">
        <f t="shared" si="17"/>
        <v>1.1.3</v>
      </c>
      <c r="H73" s="1">
        <f t="shared" si="12"/>
        <v>4</v>
      </c>
      <c r="I73" t="str">
        <f t="shared" si="14"/>
        <v>1.1.3.12</v>
      </c>
      <c r="J73" t="s">
        <v>160</v>
      </c>
      <c r="L73" s="1">
        <f t="shared" si="13"/>
        <v>9</v>
      </c>
      <c r="M73" s="1" t="str">
        <f t="shared" si="18"/>
        <v>1.1.3.</v>
      </c>
      <c r="N73">
        <f t="shared" si="21"/>
        <v>1</v>
      </c>
      <c r="P73" s="13">
        <f t="shared" si="19"/>
        <v>5.2727272727272725</v>
      </c>
      <c r="R73">
        <v>4</v>
      </c>
      <c r="S73">
        <v>6</v>
      </c>
      <c r="T73">
        <v>7</v>
      </c>
      <c r="U73">
        <v>5</v>
      </c>
      <c r="V73">
        <v>8</v>
      </c>
      <c r="W73">
        <v>7</v>
      </c>
      <c r="X73">
        <v>6</v>
      </c>
      <c r="Y73">
        <v>5</v>
      </c>
      <c r="Z73">
        <v>-1</v>
      </c>
      <c r="AA73">
        <v>6</v>
      </c>
    </row>
    <row r="74" spans="1:27" x14ac:dyDescent="0.25">
      <c r="A74">
        <f t="shared" si="11"/>
        <v>72</v>
      </c>
      <c r="B74" t="str">
        <f t="shared" si="20"/>
        <v>1a4</v>
      </c>
      <c r="D74" s="10">
        <v>8</v>
      </c>
      <c r="E74">
        <f t="shared" si="16"/>
        <v>2</v>
      </c>
      <c r="F74">
        <f t="shared" si="15"/>
        <v>5</v>
      </c>
      <c r="G74" s="1" t="str">
        <f t="shared" si="17"/>
        <v>1.1</v>
      </c>
      <c r="H74" s="1">
        <f t="shared" si="12"/>
        <v>3</v>
      </c>
      <c r="I74" t="str">
        <f t="shared" si="14"/>
        <v>1.1.4</v>
      </c>
      <c r="J74" t="s">
        <v>19</v>
      </c>
      <c r="L74" s="1">
        <f t="shared" si="13"/>
        <v>6</v>
      </c>
      <c r="M74" s="1" t="str">
        <f t="shared" si="18"/>
        <v>1.1</v>
      </c>
      <c r="N74">
        <f t="shared" si="21"/>
        <v>0</v>
      </c>
      <c r="P74" s="13">
        <f t="shared" si="19"/>
        <v>6.3636363636363633</v>
      </c>
      <c r="R74">
        <v>7</v>
      </c>
      <c r="S74">
        <v>6</v>
      </c>
      <c r="T74">
        <v>3</v>
      </c>
      <c r="U74">
        <v>9</v>
      </c>
      <c r="V74">
        <v>2</v>
      </c>
      <c r="W74">
        <v>7</v>
      </c>
      <c r="X74">
        <v>8</v>
      </c>
      <c r="Y74">
        <v>8</v>
      </c>
      <c r="Z74">
        <v>6</v>
      </c>
      <c r="AA74">
        <v>6</v>
      </c>
    </row>
    <row r="75" spans="1:27" x14ac:dyDescent="0.25">
      <c r="A75">
        <f t="shared" si="11"/>
        <v>73</v>
      </c>
      <c r="B75" t="str">
        <f t="shared" si="20"/>
        <v>1a4a</v>
      </c>
      <c r="D75" s="3">
        <v>9</v>
      </c>
      <c r="E75">
        <f t="shared" si="16"/>
        <v>72</v>
      </c>
      <c r="F75">
        <f t="shared" si="15"/>
        <v>7</v>
      </c>
      <c r="G75" s="1" t="str">
        <f t="shared" si="17"/>
        <v>1.1.4</v>
      </c>
      <c r="H75" s="1">
        <f t="shared" si="12"/>
        <v>4</v>
      </c>
      <c r="I75" t="str">
        <f t="shared" si="14"/>
        <v>1.1.4.1</v>
      </c>
      <c r="J75" t="s">
        <v>20</v>
      </c>
      <c r="L75" s="1">
        <f t="shared" si="13"/>
        <v>8</v>
      </c>
      <c r="M75" s="1" t="str">
        <f t="shared" si="18"/>
        <v>1.1.4</v>
      </c>
      <c r="N75">
        <f t="shared" si="21"/>
        <v>0</v>
      </c>
      <c r="P75" s="13">
        <f t="shared" si="19"/>
        <v>9.1818181818181817</v>
      </c>
      <c r="R75">
        <v>9</v>
      </c>
      <c r="S75">
        <v>8</v>
      </c>
      <c r="T75">
        <v>8</v>
      </c>
      <c r="U75">
        <v>10</v>
      </c>
      <c r="V75">
        <v>10</v>
      </c>
      <c r="W75">
        <v>9</v>
      </c>
      <c r="X75">
        <v>10</v>
      </c>
      <c r="Y75">
        <v>8</v>
      </c>
      <c r="Z75">
        <v>10</v>
      </c>
      <c r="AA75">
        <v>10</v>
      </c>
    </row>
    <row r="76" spans="1:27" x14ac:dyDescent="0.25">
      <c r="A76">
        <f t="shared" si="11"/>
        <v>74</v>
      </c>
      <c r="B76" t="str">
        <f t="shared" si="20"/>
        <v>1a4b</v>
      </c>
      <c r="D76" s="3">
        <v>8</v>
      </c>
      <c r="E76">
        <f t="shared" si="16"/>
        <v>72</v>
      </c>
      <c r="F76">
        <f t="shared" si="15"/>
        <v>7</v>
      </c>
      <c r="G76" s="1" t="str">
        <f t="shared" si="17"/>
        <v>1.1.4</v>
      </c>
      <c r="H76" s="1">
        <f t="shared" si="12"/>
        <v>4</v>
      </c>
      <c r="I76" t="str">
        <f t="shared" si="14"/>
        <v>1.1.4.2</v>
      </c>
      <c r="J76" t="s">
        <v>21</v>
      </c>
      <c r="L76" s="1">
        <f t="shared" si="13"/>
        <v>8</v>
      </c>
      <c r="M76" s="1" t="str">
        <f t="shared" si="18"/>
        <v>1.1.4</v>
      </c>
      <c r="N76">
        <f t="shared" si="21"/>
        <v>0</v>
      </c>
      <c r="P76" s="13">
        <f t="shared" si="19"/>
        <v>7.5454545454545459</v>
      </c>
      <c r="R76">
        <v>7</v>
      </c>
      <c r="S76">
        <v>6</v>
      </c>
      <c r="T76">
        <v>7</v>
      </c>
      <c r="U76">
        <v>8</v>
      </c>
      <c r="V76">
        <v>5</v>
      </c>
      <c r="W76">
        <v>8</v>
      </c>
      <c r="X76">
        <v>8</v>
      </c>
      <c r="Y76">
        <v>8</v>
      </c>
      <c r="Z76">
        <v>9</v>
      </c>
      <c r="AA76">
        <v>9</v>
      </c>
    </row>
    <row r="77" spans="1:27" x14ac:dyDescent="0.25">
      <c r="A77">
        <f t="shared" si="11"/>
        <v>75</v>
      </c>
      <c r="B77" t="str">
        <f t="shared" si="20"/>
        <v>1a4c</v>
      </c>
      <c r="D77" s="3">
        <v>9</v>
      </c>
      <c r="E77">
        <f t="shared" si="16"/>
        <v>72</v>
      </c>
      <c r="F77">
        <f t="shared" si="15"/>
        <v>7</v>
      </c>
      <c r="G77" s="1" t="str">
        <f t="shared" si="17"/>
        <v>1.1.4</v>
      </c>
      <c r="H77" s="1">
        <f t="shared" si="12"/>
        <v>4</v>
      </c>
      <c r="I77" t="str">
        <f t="shared" si="14"/>
        <v>1.1.4.3</v>
      </c>
      <c r="J77" t="s">
        <v>22</v>
      </c>
      <c r="L77" s="1">
        <f t="shared" si="13"/>
        <v>8</v>
      </c>
      <c r="M77" s="1" t="str">
        <f t="shared" si="18"/>
        <v>1.1.4</v>
      </c>
      <c r="N77">
        <f t="shared" si="21"/>
        <v>0</v>
      </c>
      <c r="P77" s="13">
        <f t="shared" si="19"/>
        <v>8.3636363636363633</v>
      </c>
      <c r="R77">
        <v>10</v>
      </c>
      <c r="S77">
        <v>6</v>
      </c>
      <c r="T77">
        <v>5</v>
      </c>
      <c r="U77">
        <v>9</v>
      </c>
      <c r="V77">
        <v>9</v>
      </c>
      <c r="W77">
        <v>8</v>
      </c>
      <c r="X77">
        <v>10</v>
      </c>
      <c r="Y77">
        <v>9</v>
      </c>
      <c r="Z77">
        <v>10</v>
      </c>
      <c r="AA77">
        <v>7</v>
      </c>
    </row>
    <row r="78" spans="1:27" x14ac:dyDescent="0.25">
      <c r="A78">
        <f t="shared" si="11"/>
        <v>76</v>
      </c>
      <c r="B78" t="str">
        <f t="shared" si="20"/>
        <v>1a4d</v>
      </c>
      <c r="D78" s="3">
        <v>8</v>
      </c>
      <c r="E78">
        <f t="shared" si="16"/>
        <v>72</v>
      </c>
      <c r="F78">
        <f t="shared" si="15"/>
        <v>7</v>
      </c>
      <c r="G78" s="1" t="str">
        <f t="shared" si="17"/>
        <v>1.1.4</v>
      </c>
      <c r="H78" s="1">
        <f t="shared" si="12"/>
        <v>4</v>
      </c>
      <c r="I78" t="str">
        <f t="shared" si="14"/>
        <v>1.1.4.4</v>
      </c>
      <c r="J78" t="s">
        <v>23</v>
      </c>
      <c r="L78" s="1">
        <f t="shared" si="13"/>
        <v>8</v>
      </c>
      <c r="M78" s="1" t="str">
        <f t="shared" si="18"/>
        <v>1.1.4</v>
      </c>
      <c r="N78">
        <f t="shared" si="21"/>
        <v>0</v>
      </c>
      <c r="P78" s="13">
        <f t="shared" si="19"/>
        <v>8</v>
      </c>
      <c r="R78">
        <v>7</v>
      </c>
      <c r="S78">
        <v>9</v>
      </c>
      <c r="T78">
        <v>8</v>
      </c>
      <c r="U78">
        <v>7</v>
      </c>
      <c r="V78">
        <v>7</v>
      </c>
      <c r="W78">
        <v>10</v>
      </c>
      <c r="X78">
        <v>9</v>
      </c>
      <c r="Y78">
        <v>8</v>
      </c>
      <c r="Z78">
        <v>8</v>
      </c>
      <c r="AA78">
        <v>7</v>
      </c>
    </row>
    <row r="79" spans="1:27" x14ac:dyDescent="0.25">
      <c r="A79">
        <f t="shared" si="11"/>
        <v>77</v>
      </c>
      <c r="B79" t="str">
        <f t="shared" si="20"/>
        <v>1a4e</v>
      </c>
      <c r="D79" s="3">
        <v>7</v>
      </c>
      <c r="E79">
        <f t="shared" si="16"/>
        <v>72</v>
      </c>
      <c r="F79">
        <f t="shared" si="15"/>
        <v>7</v>
      </c>
      <c r="G79" s="1" t="str">
        <f t="shared" si="17"/>
        <v>1.1.4</v>
      </c>
      <c r="H79" s="1">
        <f t="shared" si="12"/>
        <v>4</v>
      </c>
      <c r="I79" t="str">
        <f t="shared" si="14"/>
        <v>1.1.4.5</v>
      </c>
      <c r="J79" t="s">
        <v>161</v>
      </c>
      <c r="L79" s="1">
        <f t="shared" si="13"/>
        <v>8</v>
      </c>
      <c r="M79" s="1" t="str">
        <f t="shared" si="18"/>
        <v>1.1.4</v>
      </c>
      <c r="N79">
        <f t="shared" si="21"/>
        <v>0</v>
      </c>
      <c r="P79" s="13">
        <f t="shared" si="19"/>
        <v>7.0909090909090908</v>
      </c>
      <c r="R79">
        <v>7</v>
      </c>
      <c r="S79">
        <v>9</v>
      </c>
      <c r="T79">
        <v>9</v>
      </c>
      <c r="U79">
        <v>7</v>
      </c>
      <c r="V79">
        <v>7</v>
      </c>
      <c r="W79">
        <v>6</v>
      </c>
      <c r="X79">
        <v>7</v>
      </c>
      <c r="Y79">
        <v>7</v>
      </c>
      <c r="Z79">
        <v>5</v>
      </c>
      <c r="AA79">
        <v>7</v>
      </c>
    </row>
    <row r="80" spans="1:27" x14ac:dyDescent="0.25">
      <c r="A80">
        <f t="shared" si="11"/>
        <v>78</v>
      </c>
      <c r="B80" t="str">
        <f t="shared" si="20"/>
        <v>1a4f</v>
      </c>
      <c r="D80" s="3">
        <v>7</v>
      </c>
      <c r="E80">
        <f t="shared" si="16"/>
        <v>72</v>
      </c>
      <c r="F80">
        <f t="shared" si="15"/>
        <v>7</v>
      </c>
      <c r="G80" s="1" t="str">
        <f t="shared" si="17"/>
        <v>1.1.4</v>
      </c>
      <c r="H80" s="1">
        <f t="shared" si="12"/>
        <v>4</v>
      </c>
      <c r="I80" t="str">
        <f t="shared" si="14"/>
        <v>1.1.4.6</v>
      </c>
      <c r="J80" t="s">
        <v>162</v>
      </c>
      <c r="L80" s="1">
        <f t="shared" si="13"/>
        <v>8</v>
      </c>
      <c r="M80" s="1" t="str">
        <f t="shared" si="18"/>
        <v>1.1.4</v>
      </c>
      <c r="N80">
        <f t="shared" si="21"/>
        <v>0</v>
      </c>
      <c r="P80" s="13">
        <f t="shared" si="19"/>
        <v>7.8181818181818183</v>
      </c>
      <c r="R80">
        <v>8</v>
      </c>
      <c r="S80">
        <v>7</v>
      </c>
      <c r="T80">
        <v>10</v>
      </c>
      <c r="U80">
        <v>8</v>
      </c>
      <c r="V80">
        <v>9</v>
      </c>
      <c r="W80">
        <v>8</v>
      </c>
      <c r="X80">
        <v>5</v>
      </c>
      <c r="Y80">
        <v>8</v>
      </c>
      <c r="Z80">
        <v>7</v>
      </c>
      <c r="AA80">
        <v>9</v>
      </c>
    </row>
    <row r="81" spans="1:27" x14ac:dyDescent="0.25">
      <c r="A81">
        <f t="shared" si="11"/>
        <v>79</v>
      </c>
      <c r="B81" t="str">
        <f t="shared" si="20"/>
        <v>1a4g</v>
      </c>
      <c r="D81" s="3">
        <v>5</v>
      </c>
      <c r="E81">
        <f t="shared" si="16"/>
        <v>72</v>
      </c>
      <c r="F81">
        <f t="shared" si="15"/>
        <v>7</v>
      </c>
      <c r="G81" s="1" t="str">
        <f t="shared" si="17"/>
        <v>1.1.4</v>
      </c>
      <c r="H81" s="1">
        <f t="shared" si="12"/>
        <v>4</v>
      </c>
      <c r="I81" t="str">
        <f t="shared" si="14"/>
        <v>1.1.4.7</v>
      </c>
      <c r="J81" t="s">
        <v>163</v>
      </c>
      <c r="L81" s="1">
        <f t="shared" si="13"/>
        <v>8</v>
      </c>
      <c r="M81" s="1" t="str">
        <f t="shared" si="18"/>
        <v>1.1.4</v>
      </c>
      <c r="N81">
        <f t="shared" si="21"/>
        <v>0</v>
      </c>
      <c r="P81" s="13">
        <f t="shared" si="19"/>
        <v>5.8181818181818183</v>
      </c>
      <c r="R81">
        <v>6</v>
      </c>
      <c r="S81">
        <v>7</v>
      </c>
      <c r="T81">
        <v>8</v>
      </c>
      <c r="U81">
        <v>6</v>
      </c>
      <c r="V81">
        <v>6</v>
      </c>
      <c r="W81">
        <v>4</v>
      </c>
      <c r="X81">
        <v>7</v>
      </c>
      <c r="Y81">
        <v>6</v>
      </c>
      <c r="Z81">
        <v>4</v>
      </c>
      <c r="AA81">
        <v>5</v>
      </c>
    </row>
    <row r="82" spans="1:27" x14ac:dyDescent="0.25">
      <c r="A82">
        <f t="shared" si="11"/>
        <v>80</v>
      </c>
      <c r="B82" t="str">
        <f t="shared" si="20"/>
        <v>1a5</v>
      </c>
      <c r="D82" s="10">
        <v>10</v>
      </c>
      <c r="E82">
        <f t="shared" si="16"/>
        <v>2</v>
      </c>
      <c r="F82">
        <f t="shared" si="15"/>
        <v>5</v>
      </c>
      <c r="G82" s="1" t="str">
        <f t="shared" si="17"/>
        <v>1.1</v>
      </c>
      <c r="H82" s="1">
        <f t="shared" si="12"/>
        <v>3</v>
      </c>
      <c r="I82" t="str">
        <f t="shared" si="14"/>
        <v>1.1.5</v>
      </c>
      <c r="J82" t="s">
        <v>164</v>
      </c>
      <c r="L82" s="1">
        <f t="shared" si="13"/>
        <v>6</v>
      </c>
      <c r="M82" s="1" t="str">
        <f t="shared" si="18"/>
        <v>1.1</v>
      </c>
      <c r="N82">
        <f t="shared" si="21"/>
        <v>0</v>
      </c>
      <c r="P82" s="13">
        <f t="shared" si="19"/>
        <v>9.545454545454545</v>
      </c>
      <c r="R82">
        <v>9</v>
      </c>
      <c r="S82">
        <v>10</v>
      </c>
      <c r="T82">
        <v>9</v>
      </c>
      <c r="U82">
        <v>9</v>
      </c>
      <c r="V82">
        <v>10</v>
      </c>
      <c r="W82">
        <v>10</v>
      </c>
      <c r="X82">
        <v>10</v>
      </c>
      <c r="Y82">
        <v>10</v>
      </c>
      <c r="Z82">
        <v>10</v>
      </c>
      <c r="AA82">
        <v>8</v>
      </c>
    </row>
    <row r="83" spans="1:27" x14ac:dyDescent="0.25">
      <c r="A83">
        <f t="shared" ref="A83:A146" si="22">A82+1</f>
        <v>81</v>
      </c>
      <c r="B83" t="str">
        <f t="shared" si="20"/>
        <v>1a5a</v>
      </c>
      <c r="D83" s="3">
        <v>7</v>
      </c>
      <c r="E83">
        <f t="shared" si="16"/>
        <v>80</v>
      </c>
      <c r="F83">
        <f t="shared" si="15"/>
        <v>7</v>
      </c>
      <c r="G83" s="1" t="str">
        <f t="shared" si="17"/>
        <v>1.1.5</v>
      </c>
      <c r="H83" s="1">
        <f t="shared" ref="H83:H146" si="23">ROUNDUP(F83/2,0)</f>
        <v>4</v>
      </c>
      <c r="I83" t="str">
        <f t="shared" si="14"/>
        <v>1.1.5.1</v>
      </c>
      <c r="J83" t="s">
        <v>165</v>
      </c>
      <c r="L83" s="1">
        <f t="shared" ref="L83:L146" si="24">IFERROR(SEARCH(L$2,J83),SEARCH(". ",J83))</f>
        <v>8</v>
      </c>
      <c r="M83" s="1" t="str">
        <f t="shared" si="18"/>
        <v>1.1.5</v>
      </c>
      <c r="N83">
        <f t="shared" si="21"/>
        <v>0</v>
      </c>
      <c r="P83" s="13">
        <f t="shared" si="19"/>
        <v>7.5454545454545459</v>
      </c>
      <c r="R83">
        <v>7</v>
      </c>
      <c r="S83">
        <v>8</v>
      </c>
      <c r="T83">
        <v>8</v>
      </c>
      <c r="U83">
        <v>8</v>
      </c>
      <c r="V83">
        <v>9</v>
      </c>
      <c r="W83">
        <v>7</v>
      </c>
      <c r="X83">
        <v>5</v>
      </c>
      <c r="Y83">
        <v>9</v>
      </c>
      <c r="Z83">
        <v>8</v>
      </c>
      <c r="AA83">
        <v>7</v>
      </c>
    </row>
    <row r="84" spans="1:27" x14ac:dyDescent="0.25">
      <c r="A84">
        <f t="shared" si="22"/>
        <v>82</v>
      </c>
      <c r="B84" t="str">
        <f t="shared" si="20"/>
        <v>1a5b</v>
      </c>
      <c r="D84" s="3">
        <v>7</v>
      </c>
      <c r="E84">
        <f t="shared" si="16"/>
        <v>80</v>
      </c>
      <c r="F84">
        <f t="shared" si="15"/>
        <v>7</v>
      </c>
      <c r="G84" s="1" t="str">
        <f t="shared" si="17"/>
        <v>1.1.5</v>
      </c>
      <c r="H84" s="1">
        <f t="shared" si="23"/>
        <v>4</v>
      </c>
      <c r="I84" t="str">
        <f t="shared" ref="I84:I147" si="25">LEFT(J84,L84-1)</f>
        <v>1.1.5.2</v>
      </c>
      <c r="J84" t="s">
        <v>166</v>
      </c>
      <c r="L84" s="1">
        <f t="shared" si="24"/>
        <v>8</v>
      </c>
      <c r="M84" s="1" t="str">
        <f t="shared" si="18"/>
        <v>1.1.5</v>
      </c>
      <c r="N84">
        <f t="shared" si="21"/>
        <v>0</v>
      </c>
      <c r="P84" s="13">
        <f t="shared" si="19"/>
        <v>7</v>
      </c>
      <c r="R84">
        <v>8</v>
      </c>
      <c r="S84">
        <v>6</v>
      </c>
      <c r="T84">
        <v>6</v>
      </c>
      <c r="U84">
        <v>8</v>
      </c>
      <c r="V84">
        <v>6</v>
      </c>
      <c r="W84">
        <v>9</v>
      </c>
      <c r="X84">
        <v>7</v>
      </c>
      <c r="Y84">
        <v>6</v>
      </c>
      <c r="Z84">
        <v>4</v>
      </c>
      <c r="AA84">
        <v>10</v>
      </c>
    </row>
    <row r="85" spans="1:27" x14ac:dyDescent="0.25">
      <c r="A85">
        <f t="shared" si="22"/>
        <v>83</v>
      </c>
      <c r="B85" t="str">
        <f t="shared" si="20"/>
        <v>1a5c</v>
      </c>
      <c r="D85" s="3">
        <v>10</v>
      </c>
      <c r="E85">
        <f t="shared" si="16"/>
        <v>80</v>
      </c>
      <c r="F85">
        <f t="shared" si="15"/>
        <v>7</v>
      </c>
      <c r="G85" s="1" t="str">
        <f t="shared" si="17"/>
        <v>1.1.5</v>
      </c>
      <c r="H85" s="1">
        <f t="shared" si="23"/>
        <v>4</v>
      </c>
      <c r="I85" t="str">
        <f t="shared" si="25"/>
        <v>1.1.5.3</v>
      </c>
      <c r="J85" t="s">
        <v>167</v>
      </c>
      <c r="L85" s="1">
        <f t="shared" si="24"/>
        <v>8</v>
      </c>
      <c r="M85" s="1" t="str">
        <f t="shared" si="18"/>
        <v>1.1.5</v>
      </c>
      <c r="N85">
        <f t="shared" si="21"/>
        <v>0</v>
      </c>
      <c r="P85" s="13">
        <f t="shared" si="19"/>
        <v>9.0909090909090917</v>
      </c>
      <c r="R85">
        <v>10</v>
      </c>
      <c r="S85">
        <v>5</v>
      </c>
      <c r="T85">
        <v>9</v>
      </c>
      <c r="U85">
        <v>9</v>
      </c>
      <c r="V85">
        <v>10</v>
      </c>
      <c r="W85">
        <v>8</v>
      </c>
      <c r="X85">
        <v>10</v>
      </c>
      <c r="Y85">
        <v>10</v>
      </c>
      <c r="Z85">
        <v>9</v>
      </c>
      <c r="AA85">
        <v>10</v>
      </c>
    </row>
    <row r="86" spans="1:27" x14ac:dyDescent="0.25">
      <c r="A86">
        <f t="shared" si="22"/>
        <v>84</v>
      </c>
      <c r="B86" t="str">
        <f t="shared" si="20"/>
        <v>1a5d</v>
      </c>
      <c r="D86" s="3">
        <v>10</v>
      </c>
      <c r="E86">
        <f t="shared" si="16"/>
        <v>80</v>
      </c>
      <c r="F86">
        <f t="shared" si="15"/>
        <v>7</v>
      </c>
      <c r="G86" s="1" t="str">
        <f t="shared" si="17"/>
        <v>1.1.5</v>
      </c>
      <c r="H86" s="1">
        <f t="shared" si="23"/>
        <v>4</v>
      </c>
      <c r="I86" t="str">
        <f t="shared" si="25"/>
        <v>1.1.5.4</v>
      </c>
      <c r="J86" t="s">
        <v>168</v>
      </c>
      <c r="L86" s="1">
        <f t="shared" si="24"/>
        <v>8</v>
      </c>
      <c r="M86" s="1" t="str">
        <f t="shared" si="18"/>
        <v>1.1.5</v>
      </c>
      <c r="N86">
        <f t="shared" si="21"/>
        <v>0</v>
      </c>
      <c r="P86" s="13">
        <f t="shared" si="19"/>
        <v>9.454545454545455</v>
      </c>
      <c r="R86">
        <v>10</v>
      </c>
      <c r="S86">
        <v>10</v>
      </c>
      <c r="T86">
        <v>10</v>
      </c>
      <c r="U86">
        <v>10</v>
      </c>
      <c r="V86">
        <v>9</v>
      </c>
      <c r="W86">
        <v>8</v>
      </c>
      <c r="X86">
        <v>9</v>
      </c>
      <c r="Y86">
        <v>8</v>
      </c>
      <c r="Z86">
        <v>10</v>
      </c>
      <c r="AA86">
        <v>10</v>
      </c>
    </row>
    <row r="87" spans="1:27" x14ac:dyDescent="0.25">
      <c r="A87">
        <f t="shared" si="22"/>
        <v>85</v>
      </c>
      <c r="B87" t="str">
        <f t="shared" si="20"/>
        <v>1a5e</v>
      </c>
      <c r="D87" s="3">
        <v>8</v>
      </c>
      <c r="E87">
        <f t="shared" si="16"/>
        <v>80</v>
      </c>
      <c r="F87">
        <f t="shared" si="15"/>
        <v>7</v>
      </c>
      <c r="G87" s="1" t="str">
        <f t="shared" si="17"/>
        <v>1.1.5</v>
      </c>
      <c r="H87" s="1">
        <f t="shared" si="23"/>
        <v>4</v>
      </c>
      <c r="I87" t="str">
        <f t="shared" si="25"/>
        <v>1.1.5.5</v>
      </c>
      <c r="J87" t="s">
        <v>169</v>
      </c>
      <c r="L87" s="1">
        <f t="shared" si="24"/>
        <v>8</v>
      </c>
      <c r="M87" s="1" t="str">
        <f t="shared" si="18"/>
        <v>1.1.5</v>
      </c>
      <c r="N87">
        <f t="shared" si="21"/>
        <v>0</v>
      </c>
      <c r="P87" s="13">
        <f t="shared" si="19"/>
        <v>6.9090909090909092</v>
      </c>
      <c r="R87">
        <v>6</v>
      </c>
      <c r="S87">
        <v>5</v>
      </c>
      <c r="T87">
        <v>6</v>
      </c>
      <c r="U87">
        <v>7</v>
      </c>
      <c r="V87">
        <v>6</v>
      </c>
      <c r="W87">
        <v>7</v>
      </c>
      <c r="X87">
        <v>7</v>
      </c>
      <c r="Y87">
        <v>8</v>
      </c>
      <c r="Z87">
        <v>7</v>
      </c>
      <c r="AA87">
        <v>9</v>
      </c>
    </row>
    <row r="88" spans="1:27" x14ac:dyDescent="0.25">
      <c r="A88">
        <f t="shared" si="22"/>
        <v>86</v>
      </c>
      <c r="B88" t="str">
        <f t="shared" si="20"/>
        <v>1a5f</v>
      </c>
      <c r="D88" s="3">
        <v>9</v>
      </c>
      <c r="E88">
        <f t="shared" si="16"/>
        <v>80</v>
      </c>
      <c r="F88">
        <f t="shared" si="15"/>
        <v>7</v>
      </c>
      <c r="G88" s="1" t="str">
        <f t="shared" si="17"/>
        <v>1.1.5</v>
      </c>
      <c r="H88" s="1">
        <f t="shared" si="23"/>
        <v>4</v>
      </c>
      <c r="I88" t="str">
        <f t="shared" si="25"/>
        <v>1.1.5.6</v>
      </c>
      <c r="J88" t="s">
        <v>170</v>
      </c>
      <c r="L88" s="1">
        <f t="shared" si="24"/>
        <v>8</v>
      </c>
      <c r="M88" s="1" t="str">
        <f t="shared" si="18"/>
        <v>1.1.5</v>
      </c>
      <c r="N88">
        <f t="shared" si="21"/>
        <v>0</v>
      </c>
      <c r="P88" s="13">
        <f t="shared" si="19"/>
        <v>8.3636363636363633</v>
      </c>
      <c r="R88">
        <v>6</v>
      </c>
      <c r="S88">
        <v>10</v>
      </c>
      <c r="T88">
        <v>10</v>
      </c>
      <c r="U88">
        <v>10</v>
      </c>
      <c r="V88">
        <v>10</v>
      </c>
      <c r="W88">
        <v>8</v>
      </c>
      <c r="X88">
        <v>8</v>
      </c>
      <c r="Y88">
        <v>9</v>
      </c>
      <c r="Z88">
        <v>5</v>
      </c>
      <c r="AA88">
        <v>7</v>
      </c>
    </row>
    <row r="89" spans="1:27" x14ac:dyDescent="0.25">
      <c r="A89">
        <f t="shared" si="22"/>
        <v>87</v>
      </c>
      <c r="B89" t="str">
        <f t="shared" si="20"/>
        <v>1a5g</v>
      </c>
      <c r="D89" s="3">
        <v>7</v>
      </c>
      <c r="E89">
        <f t="shared" si="16"/>
        <v>80</v>
      </c>
      <c r="F89">
        <f t="shared" si="15"/>
        <v>7</v>
      </c>
      <c r="G89" s="1" t="str">
        <f t="shared" si="17"/>
        <v>1.1.5</v>
      </c>
      <c r="H89" s="1">
        <f t="shared" si="23"/>
        <v>4</v>
      </c>
      <c r="I89" t="str">
        <f t="shared" si="25"/>
        <v>1.1.5.7</v>
      </c>
      <c r="J89" t="s">
        <v>171</v>
      </c>
      <c r="L89" s="1">
        <f t="shared" si="24"/>
        <v>8</v>
      </c>
      <c r="M89" s="1" t="str">
        <f t="shared" si="18"/>
        <v>1.1.5</v>
      </c>
      <c r="N89">
        <f t="shared" si="21"/>
        <v>0</v>
      </c>
      <c r="P89" s="13">
        <f t="shared" si="19"/>
        <v>6.4545454545454541</v>
      </c>
      <c r="R89">
        <v>8</v>
      </c>
      <c r="S89">
        <v>8</v>
      </c>
      <c r="T89">
        <v>7</v>
      </c>
      <c r="U89">
        <v>9</v>
      </c>
      <c r="V89">
        <v>4</v>
      </c>
      <c r="W89">
        <v>8</v>
      </c>
      <c r="X89">
        <v>6</v>
      </c>
      <c r="Y89">
        <v>7</v>
      </c>
      <c r="Z89">
        <v>1</v>
      </c>
      <c r="AA89">
        <v>6</v>
      </c>
    </row>
    <row r="90" spans="1:27" x14ac:dyDescent="0.25">
      <c r="A90">
        <f t="shared" si="22"/>
        <v>88</v>
      </c>
      <c r="B90" t="str">
        <f t="shared" si="20"/>
        <v>1a5h</v>
      </c>
      <c r="D90" s="3">
        <v>7</v>
      </c>
      <c r="E90">
        <f t="shared" si="16"/>
        <v>80</v>
      </c>
      <c r="F90">
        <f t="shared" si="15"/>
        <v>7</v>
      </c>
      <c r="G90" s="1" t="str">
        <f t="shared" si="17"/>
        <v>1.1.5</v>
      </c>
      <c r="H90" s="1">
        <f t="shared" si="23"/>
        <v>4</v>
      </c>
      <c r="I90" t="str">
        <f t="shared" si="25"/>
        <v>1.1.5.8</v>
      </c>
      <c r="J90" t="s">
        <v>172</v>
      </c>
      <c r="L90" s="1">
        <f t="shared" si="24"/>
        <v>8</v>
      </c>
      <c r="M90" s="1" t="str">
        <f t="shared" si="18"/>
        <v>1.1.5</v>
      </c>
      <c r="N90">
        <f t="shared" si="21"/>
        <v>0</v>
      </c>
      <c r="P90" s="13">
        <f t="shared" si="19"/>
        <v>6.9090909090909092</v>
      </c>
      <c r="R90">
        <v>9</v>
      </c>
      <c r="S90">
        <v>9</v>
      </c>
      <c r="T90">
        <v>2</v>
      </c>
      <c r="U90">
        <v>8</v>
      </c>
      <c r="V90">
        <v>6</v>
      </c>
      <c r="W90">
        <v>7</v>
      </c>
      <c r="X90">
        <v>7</v>
      </c>
      <c r="Y90">
        <v>7</v>
      </c>
      <c r="Z90">
        <v>7</v>
      </c>
      <c r="AA90">
        <v>7</v>
      </c>
    </row>
    <row r="91" spans="1:27" x14ac:dyDescent="0.25">
      <c r="A91">
        <f t="shared" si="22"/>
        <v>89</v>
      </c>
      <c r="B91" t="str">
        <f t="shared" si="20"/>
        <v>1b</v>
      </c>
      <c r="D91" s="9">
        <v>9</v>
      </c>
      <c r="E91">
        <f t="shared" si="16"/>
        <v>1</v>
      </c>
      <c r="F91">
        <f t="shared" si="15"/>
        <v>3</v>
      </c>
      <c r="G91" s="1" t="str">
        <f t="shared" si="17"/>
        <v>1</v>
      </c>
      <c r="H91" s="1">
        <f t="shared" si="23"/>
        <v>2</v>
      </c>
      <c r="I91" t="str">
        <f t="shared" si="25"/>
        <v>1.2</v>
      </c>
      <c r="J91" t="s">
        <v>24</v>
      </c>
      <c r="L91" s="1">
        <f t="shared" si="24"/>
        <v>4</v>
      </c>
      <c r="M91" s="1" t="str">
        <f t="shared" si="18"/>
        <v>1</v>
      </c>
      <c r="N91">
        <f t="shared" si="21"/>
        <v>0</v>
      </c>
      <c r="P91" s="13">
        <f t="shared" si="19"/>
        <v>8.545454545454545</v>
      </c>
      <c r="R91">
        <v>7</v>
      </c>
      <c r="S91">
        <v>10</v>
      </c>
      <c r="T91">
        <v>10</v>
      </c>
      <c r="U91">
        <v>9</v>
      </c>
      <c r="V91">
        <v>7</v>
      </c>
      <c r="W91">
        <v>9</v>
      </c>
      <c r="X91">
        <v>9</v>
      </c>
      <c r="Y91">
        <v>7</v>
      </c>
      <c r="Z91">
        <v>10</v>
      </c>
      <c r="AA91">
        <v>7</v>
      </c>
    </row>
    <row r="92" spans="1:27" x14ac:dyDescent="0.25">
      <c r="A92">
        <f t="shared" si="22"/>
        <v>90</v>
      </c>
      <c r="B92" t="str">
        <f t="shared" si="20"/>
        <v>1b1</v>
      </c>
      <c r="D92" s="10">
        <v>10</v>
      </c>
      <c r="E92">
        <f t="shared" si="16"/>
        <v>89</v>
      </c>
      <c r="F92">
        <f t="shared" si="15"/>
        <v>5</v>
      </c>
      <c r="G92" s="1" t="str">
        <f t="shared" si="17"/>
        <v>1.2</v>
      </c>
      <c r="H92" s="1">
        <f t="shared" si="23"/>
        <v>3</v>
      </c>
      <c r="I92" t="str">
        <f t="shared" si="25"/>
        <v>1.2.1</v>
      </c>
      <c r="J92" t="s">
        <v>626</v>
      </c>
      <c r="L92" s="1">
        <f t="shared" si="24"/>
        <v>6</v>
      </c>
      <c r="M92" s="1" t="str">
        <f t="shared" si="18"/>
        <v>1.2</v>
      </c>
      <c r="N92">
        <f t="shared" si="21"/>
        <v>0</v>
      </c>
      <c r="P92" s="13">
        <f t="shared" si="19"/>
        <v>9.8181818181818183</v>
      </c>
      <c r="R92">
        <v>10</v>
      </c>
      <c r="S92">
        <v>10</v>
      </c>
      <c r="T92">
        <v>10</v>
      </c>
      <c r="U92">
        <v>9</v>
      </c>
      <c r="V92">
        <v>9</v>
      </c>
      <c r="W92">
        <v>10</v>
      </c>
      <c r="X92">
        <v>10</v>
      </c>
      <c r="Y92">
        <v>10</v>
      </c>
      <c r="Z92">
        <v>10</v>
      </c>
      <c r="AA92">
        <v>10</v>
      </c>
    </row>
    <row r="93" spans="1:27" x14ac:dyDescent="0.25">
      <c r="A93">
        <f t="shared" si="22"/>
        <v>91</v>
      </c>
      <c r="B93" t="str">
        <f t="shared" si="20"/>
        <v>1b2</v>
      </c>
      <c r="D93" s="10">
        <v>10</v>
      </c>
      <c r="E93">
        <f t="shared" si="16"/>
        <v>89</v>
      </c>
      <c r="F93">
        <f t="shared" si="15"/>
        <v>5</v>
      </c>
      <c r="G93" s="1" t="str">
        <f t="shared" si="17"/>
        <v>1.2</v>
      </c>
      <c r="H93" s="1">
        <f t="shared" si="23"/>
        <v>3</v>
      </c>
      <c r="I93" t="str">
        <f t="shared" si="25"/>
        <v>1.2.2</v>
      </c>
      <c r="J93" t="s">
        <v>627</v>
      </c>
      <c r="L93" s="1">
        <f t="shared" si="24"/>
        <v>6</v>
      </c>
      <c r="M93" s="1" t="str">
        <f t="shared" si="18"/>
        <v>1.2</v>
      </c>
      <c r="N93">
        <f t="shared" si="21"/>
        <v>0</v>
      </c>
      <c r="P93" s="13">
        <f t="shared" si="19"/>
        <v>9.545454545454545</v>
      </c>
      <c r="R93">
        <v>9</v>
      </c>
      <c r="S93">
        <v>10</v>
      </c>
      <c r="T93">
        <v>10</v>
      </c>
      <c r="U93">
        <v>10</v>
      </c>
      <c r="V93">
        <v>10</v>
      </c>
      <c r="W93">
        <v>10</v>
      </c>
      <c r="X93">
        <v>9</v>
      </c>
      <c r="Y93">
        <v>10</v>
      </c>
      <c r="Z93">
        <v>7</v>
      </c>
      <c r="AA93">
        <v>10</v>
      </c>
    </row>
    <row r="94" spans="1:27" x14ac:dyDescent="0.25">
      <c r="A94">
        <f t="shared" si="22"/>
        <v>92</v>
      </c>
      <c r="B94" t="str">
        <f t="shared" si="20"/>
        <v>1b3</v>
      </c>
      <c r="D94" s="10">
        <v>10</v>
      </c>
      <c r="E94">
        <f t="shared" si="16"/>
        <v>89</v>
      </c>
      <c r="F94">
        <f t="shared" si="15"/>
        <v>5</v>
      </c>
      <c r="G94" s="1" t="str">
        <f t="shared" si="17"/>
        <v>1.2</v>
      </c>
      <c r="H94" s="1">
        <f t="shared" si="23"/>
        <v>3</v>
      </c>
      <c r="I94" t="str">
        <f t="shared" si="25"/>
        <v>1.2.3</v>
      </c>
      <c r="J94" t="s">
        <v>25</v>
      </c>
      <c r="L94" s="1">
        <f t="shared" si="24"/>
        <v>6</v>
      </c>
      <c r="M94" s="1" t="str">
        <f t="shared" si="18"/>
        <v>1.2</v>
      </c>
      <c r="N94">
        <f t="shared" si="21"/>
        <v>0</v>
      </c>
      <c r="P94" s="13">
        <f t="shared" si="19"/>
        <v>9.9090909090909083</v>
      </c>
      <c r="R94">
        <v>10</v>
      </c>
      <c r="S94">
        <v>10</v>
      </c>
      <c r="T94">
        <v>10</v>
      </c>
      <c r="U94">
        <v>10</v>
      </c>
      <c r="V94">
        <v>10</v>
      </c>
      <c r="W94">
        <v>10</v>
      </c>
      <c r="X94">
        <v>10</v>
      </c>
      <c r="Y94">
        <v>9</v>
      </c>
      <c r="Z94">
        <v>10</v>
      </c>
      <c r="AA94">
        <v>10</v>
      </c>
    </row>
    <row r="95" spans="1:27" x14ac:dyDescent="0.25">
      <c r="A95">
        <f t="shared" si="22"/>
        <v>93</v>
      </c>
      <c r="B95" t="str">
        <f t="shared" si="20"/>
        <v>1b4</v>
      </c>
      <c r="D95" s="10">
        <v>8</v>
      </c>
      <c r="E95">
        <f t="shared" si="16"/>
        <v>89</v>
      </c>
      <c r="F95">
        <f t="shared" si="15"/>
        <v>5</v>
      </c>
      <c r="G95" s="1" t="str">
        <f t="shared" si="17"/>
        <v>1.2</v>
      </c>
      <c r="H95" s="1">
        <f t="shared" si="23"/>
        <v>3</v>
      </c>
      <c r="I95" t="str">
        <f t="shared" si="25"/>
        <v>1.2.4</v>
      </c>
      <c r="J95" t="s">
        <v>26</v>
      </c>
      <c r="L95" s="1">
        <f t="shared" si="24"/>
        <v>6</v>
      </c>
      <c r="M95" s="1" t="str">
        <f t="shared" si="18"/>
        <v>1.2</v>
      </c>
      <c r="N95">
        <f t="shared" si="21"/>
        <v>0</v>
      </c>
      <c r="P95" s="13">
        <f t="shared" si="19"/>
        <v>7.8181818181818183</v>
      </c>
      <c r="R95">
        <v>7</v>
      </c>
      <c r="S95">
        <v>10</v>
      </c>
      <c r="T95">
        <v>10</v>
      </c>
      <c r="U95">
        <v>8</v>
      </c>
      <c r="V95">
        <v>6</v>
      </c>
      <c r="W95">
        <v>10</v>
      </c>
      <c r="X95">
        <v>8</v>
      </c>
      <c r="Y95">
        <v>7</v>
      </c>
      <c r="Z95">
        <v>5</v>
      </c>
      <c r="AA95">
        <v>7</v>
      </c>
    </row>
    <row r="96" spans="1:27" x14ac:dyDescent="0.25">
      <c r="A96">
        <f t="shared" si="22"/>
        <v>94</v>
      </c>
      <c r="B96" t="str">
        <f t="shared" si="20"/>
        <v>1b5</v>
      </c>
      <c r="D96" s="10">
        <v>9</v>
      </c>
      <c r="E96">
        <f t="shared" si="16"/>
        <v>89</v>
      </c>
      <c r="F96">
        <f t="shared" si="15"/>
        <v>5</v>
      </c>
      <c r="G96" s="1" t="str">
        <f t="shared" si="17"/>
        <v>1.2</v>
      </c>
      <c r="H96" s="1">
        <f t="shared" si="23"/>
        <v>3</v>
      </c>
      <c r="I96" t="str">
        <f t="shared" si="25"/>
        <v>1.2.5</v>
      </c>
      <c r="J96" t="s">
        <v>27</v>
      </c>
      <c r="L96" s="1">
        <f t="shared" si="24"/>
        <v>6</v>
      </c>
      <c r="M96" s="1" t="str">
        <f t="shared" si="18"/>
        <v>1.2</v>
      </c>
      <c r="N96">
        <f t="shared" si="21"/>
        <v>0</v>
      </c>
      <c r="P96" s="13">
        <f t="shared" si="19"/>
        <v>9.0909090909090917</v>
      </c>
      <c r="R96">
        <v>9</v>
      </c>
      <c r="S96">
        <v>10</v>
      </c>
      <c r="T96">
        <v>7</v>
      </c>
      <c r="U96">
        <v>10</v>
      </c>
      <c r="V96">
        <v>10</v>
      </c>
      <c r="W96">
        <v>8</v>
      </c>
      <c r="X96">
        <v>10</v>
      </c>
      <c r="Y96">
        <v>8</v>
      </c>
      <c r="Z96">
        <v>9</v>
      </c>
      <c r="AA96">
        <v>10</v>
      </c>
    </row>
    <row r="97" spans="1:27" x14ac:dyDescent="0.25">
      <c r="A97">
        <f t="shared" si="22"/>
        <v>95</v>
      </c>
      <c r="B97" t="str">
        <f t="shared" si="20"/>
        <v>1b6</v>
      </c>
      <c r="D97" s="10">
        <v>7</v>
      </c>
      <c r="E97">
        <f t="shared" si="16"/>
        <v>89</v>
      </c>
      <c r="F97">
        <f t="shared" si="15"/>
        <v>5</v>
      </c>
      <c r="G97" s="1" t="str">
        <f t="shared" si="17"/>
        <v>1.2</v>
      </c>
      <c r="H97" s="1">
        <f t="shared" si="23"/>
        <v>3</v>
      </c>
      <c r="I97" t="str">
        <f t="shared" si="25"/>
        <v>1.2.6</v>
      </c>
      <c r="J97" t="s">
        <v>173</v>
      </c>
      <c r="L97" s="1">
        <f t="shared" si="24"/>
        <v>6</v>
      </c>
      <c r="M97" s="1" t="str">
        <f t="shared" si="18"/>
        <v>1.2</v>
      </c>
      <c r="N97">
        <f t="shared" si="21"/>
        <v>0</v>
      </c>
      <c r="P97" s="13">
        <f t="shared" si="19"/>
        <v>7.1818181818181817</v>
      </c>
      <c r="R97">
        <v>6</v>
      </c>
      <c r="S97">
        <v>8</v>
      </c>
      <c r="T97">
        <v>9</v>
      </c>
      <c r="U97">
        <v>7</v>
      </c>
      <c r="V97">
        <v>10</v>
      </c>
      <c r="W97">
        <v>5</v>
      </c>
      <c r="X97">
        <v>6</v>
      </c>
      <c r="Y97">
        <v>7</v>
      </c>
      <c r="Z97">
        <v>8</v>
      </c>
      <c r="AA97">
        <v>6</v>
      </c>
    </row>
    <row r="98" spans="1:27" x14ac:dyDescent="0.25">
      <c r="A98">
        <f t="shared" si="22"/>
        <v>96</v>
      </c>
      <c r="B98" t="str">
        <f t="shared" si="20"/>
        <v>1b7</v>
      </c>
      <c r="D98" s="10">
        <v>7</v>
      </c>
      <c r="E98">
        <f t="shared" si="16"/>
        <v>89</v>
      </c>
      <c r="F98">
        <f t="shared" si="15"/>
        <v>5</v>
      </c>
      <c r="G98" s="1" t="str">
        <f t="shared" si="17"/>
        <v>1.2</v>
      </c>
      <c r="H98" s="1">
        <f t="shared" si="23"/>
        <v>3</v>
      </c>
      <c r="I98" t="str">
        <f t="shared" si="25"/>
        <v>1.2.7</v>
      </c>
      <c r="J98" t="s">
        <v>174</v>
      </c>
      <c r="L98" s="1">
        <f t="shared" si="24"/>
        <v>6</v>
      </c>
      <c r="M98" s="1" t="str">
        <f t="shared" si="18"/>
        <v>1.2</v>
      </c>
      <c r="N98">
        <f t="shared" si="21"/>
        <v>0</v>
      </c>
      <c r="P98" s="13">
        <f t="shared" si="19"/>
        <v>6.4545454545454541</v>
      </c>
      <c r="R98">
        <v>7</v>
      </c>
      <c r="S98">
        <v>7</v>
      </c>
      <c r="T98">
        <v>7</v>
      </c>
      <c r="U98">
        <v>5</v>
      </c>
      <c r="V98">
        <v>5</v>
      </c>
      <c r="W98">
        <v>6</v>
      </c>
      <c r="X98">
        <v>7</v>
      </c>
      <c r="Y98">
        <v>6</v>
      </c>
      <c r="Z98">
        <v>7</v>
      </c>
      <c r="AA98">
        <v>7</v>
      </c>
    </row>
    <row r="99" spans="1:27" x14ac:dyDescent="0.25">
      <c r="A99">
        <f t="shared" si="22"/>
        <v>97</v>
      </c>
      <c r="B99" t="str">
        <f t="shared" si="20"/>
        <v>1b8</v>
      </c>
      <c r="D99" s="10">
        <v>6</v>
      </c>
      <c r="E99">
        <f t="shared" si="16"/>
        <v>89</v>
      </c>
      <c r="F99">
        <f t="shared" si="15"/>
        <v>5</v>
      </c>
      <c r="G99" s="1" t="str">
        <f t="shared" si="17"/>
        <v>1.2</v>
      </c>
      <c r="H99" s="1">
        <f t="shared" si="23"/>
        <v>3</v>
      </c>
      <c r="I99" t="str">
        <f t="shared" si="25"/>
        <v>1.2.8</v>
      </c>
      <c r="J99" t="s">
        <v>175</v>
      </c>
      <c r="L99" s="1">
        <f t="shared" si="24"/>
        <v>6</v>
      </c>
      <c r="M99" s="1" t="str">
        <f t="shared" si="18"/>
        <v>1.2</v>
      </c>
      <c r="N99">
        <f t="shared" si="21"/>
        <v>0</v>
      </c>
      <c r="P99" s="13">
        <f t="shared" si="19"/>
        <v>6.2727272727272725</v>
      </c>
      <c r="R99">
        <v>7</v>
      </c>
      <c r="S99">
        <v>6</v>
      </c>
      <c r="T99">
        <v>7</v>
      </c>
      <c r="U99">
        <v>6</v>
      </c>
      <c r="V99">
        <v>3</v>
      </c>
      <c r="W99">
        <v>7</v>
      </c>
      <c r="X99">
        <v>5</v>
      </c>
      <c r="Y99">
        <v>7</v>
      </c>
      <c r="Z99">
        <v>8</v>
      </c>
      <c r="AA99">
        <v>7</v>
      </c>
    </row>
    <row r="100" spans="1:27" x14ac:dyDescent="0.25">
      <c r="A100">
        <f t="shared" si="22"/>
        <v>98</v>
      </c>
      <c r="B100" t="str">
        <f t="shared" si="20"/>
        <v>1c</v>
      </c>
      <c r="D100" s="9">
        <v>8</v>
      </c>
      <c r="E100">
        <f t="shared" si="16"/>
        <v>1</v>
      </c>
      <c r="F100">
        <f t="shared" si="15"/>
        <v>3</v>
      </c>
      <c r="G100" s="1" t="str">
        <f t="shared" si="17"/>
        <v>1</v>
      </c>
      <c r="H100" s="1">
        <f t="shared" si="23"/>
        <v>2</v>
      </c>
      <c r="I100" t="str">
        <f t="shared" si="25"/>
        <v>1.3</v>
      </c>
      <c r="J100" t="s">
        <v>176</v>
      </c>
      <c r="L100" s="1">
        <f t="shared" si="24"/>
        <v>4</v>
      </c>
      <c r="M100" s="1" t="str">
        <f t="shared" si="18"/>
        <v>1</v>
      </c>
      <c r="N100">
        <f t="shared" si="21"/>
        <v>0</v>
      </c>
      <c r="P100" s="13">
        <f t="shared" si="19"/>
        <v>7.8181818181818183</v>
      </c>
      <c r="R100">
        <v>9</v>
      </c>
      <c r="S100">
        <v>5</v>
      </c>
      <c r="T100">
        <v>9</v>
      </c>
      <c r="U100">
        <v>9</v>
      </c>
      <c r="V100">
        <v>6</v>
      </c>
      <c r="W100">
        <v>9</v>
      </c>
      <c r="X100">
        <v>8</v>
      </c>
      <c r="Y100">
        <v>8</v>
      </c>
      <c r="Z100">
        <v>8</v>
      </c>
      <c r="AA100">
        <v>7</v>
      </c>
    </row>
    <row r="101" spans="1:27" x14ac:dyDescent="0.25">
      <c r="A101">
        <f t="shared" si="22"/>
        <v>99</v>
      </c>
      <c r="B101" t="str">
        <f t="shared" si="20"/>
        <v>1c1</v>
      </c>
      <c r="D101" s="10">
        <v>8</v>
      </c>
      <c r="E101">
        <f t="shared" si="16"/>
        <v>98</v>
      </c>
      <c r="F101">
        <f t="shared" si="15"/>
        <v>5</v>
      </c>
      <c r="G101" s="1" t="str">
        <f t="shared" si="17"/>
        <v>1.3</v>
      </c>
      <c r="H101" s="1">
        <f t="shared" si="23"/>
        <v>3</v>
      </c>
      <c r="I101" t="str">
        <f t="shared" si="25"/>
        <v>1.3.1</v>
      </c>
      <c r="J101" t="s">
        <v>177</v>
      </c>
      <c r="L101" s="1">
        <f t="shared" si="24"/>
        <v>6</v>
      </c>
      <c r="M101" s="1" t="str">
        <f t="shared" si="18"/>
        <v>1.3</v>
      </c>
      <c r="N101">
        <f t="shared" si="21"/>
        <v>0</v>
      </c>
      <c r="P101" s="13">
        <f t="shared" si="19"/>
        <v>7.6363636363636367</v>
      </c>
      <c r="R101">
        <v>8</v>
      </c>
      <c r="S101">
        <v>10</v>
      </c>
      <c r="T101">
        <v>7</v>
      </c>
      <c r="U101">
        <v>10</v>
      </c>
      <c r="V101">
        <v>8</v>
      </c>
      <c r="W101">
        <v>6</v>
      </c>
      <c r="X101">
        <v>9</v>
      </c>
      <c r="Y101">
        <v>7</v>
      </c>
      <c r="Z101">
        <v>2</v>
      </c>
      <c r="AA101">
        <v>9</v>
      </c>
    </row>
    <row r="102" spans="1:27" x14ac:dyDescent="0.25">
      <c r="A102">
        <f t="shared" si="22"/>
        <v>100</v>
      </c>
      <c r="B102" t="str">
        <f t="shared" si="20"/>
        <v>1c2</v>
      </c>
      <c r="D102" s="10">
        <v>9</v>
      </c>
      <c r="E102">
        <f t="shared" si="16"/>
        <v>98</v>
      </c>
      <c r="F102">
        <f t="shared" si="15"/>
        <v>5</v>
      </c>
      <c r="G102" s="1" t="str">
        <f t="shared" si="17"/>
        <v>1.3</v>
      </c>
      <c r="H102" s="1">
        <f t="shared" si="23"/>
        <v>3</v>
      </c>
      <c r="I102" t="str">
        <f t="shared" si="25"/>
        <v>1.3.2</v>
      </c>
      <c r="J102" t="s">
        <v>178</v>
      </c>
      <c r="L102" s="1">
        <f t="shared" si="24"/>
        <v>6</v>
      </c>
      <c r="M102" s="1" t="str">
        <f t="shared" si="18"/>
        <v>1.3</v>
      </c>
      <c r="N102">
        <f t="shared" si="21"/>
        <v>0</v>
      </c>
      <c r="P102" s="13">
        <f t="shared" si="19"/>
        <v>8.8181818181818183</v>
      </c>
      <c r="R102">
        <v>8</v>
      </c>
      <c r="S102">
        <v>10</v>
      </c>
      <c r="T102">
        <v>9</v>
      </c>
      <c r="U102">
        <v>7</v>
      </c>
      <c r="V102">
        <v>9</v>
      </c>
      <c r="W102">
        <v>8</v>
      </c>
      <c r="X102">
        <v>10</v>
      </c>
      <c r="Y102">
        <v>9</v>
      </c>
      <c r="Z102">
        <v>9</v>
      </c>
      <c r="AA102">
        <v>9</v>
      </c>
    </row>
    <row r="103" spans="1:27" x14ac:dyDescent="0.25">
      <c r="A103">
        <f t="shared" si="22"/>
        <v>101</v>
      </c>
      <c r="B103" t="str">
        <f t="shared" si="20"/>
        <v>1c3</v>
      </c>
      <c r="D103" s="10">
        <v>7</v>
      </c>
      <c r="E103">
        <f t="shared" si="16"/>
        <v>98</v>
      </c>
      <c r="F103">
        <f t="shared" si="15"/>
        <v>5</v>
      </c>
      <c r="G103" s="1" t="str">
        <f t="shared" si="17"/>
        <v>1.3</v>
      </c>
      <c r="H103" s="1">
        <f t="shared" si="23"/>
        <v>3</v>
      </c>
      <c r="I103" t="str">
        <f t="shared" si="25"/>
        <v>1.3.3</v>
      </c>
      <c r="J103" t="s">
        <v>179</v>
      </c>
      <c r="L103" s="1">
        <f t="shared" si="24"/>
        <v>6</v>
      </c>
      <c r="M103" s="1" t="str">
        <f t="shared" si="18"/>
        <v>1.3</v>
      </c>
      <c r="N103">
        <f t="shared" si="21"/>
        <v>0</v>
      </c>
      <c r="P103" s="13">
        <f t="shared" si="19"/>
        <v>6.7272727272727275</v>
      </c>
      <c r="R103">
        <v>8</v>
      </c>
      <c r="S103">
        <v>7</v>
      </c>
      <c r="T103">
        <v>9</v>
      </c>
      <c r="U103">
        <v>7</v>
      </c>
      <c r="V103">
        <v>2</v>
      </c>
      <c r="W103">
        <v>6</v>
      </c>
      <c r="X103">
        <v>6</v>
      </c>
      <c r="Y103">
        <v>8</v>
      </c>
      <c r="Z103">
        <v>8</v>
      </c>
      <c r="AA103">
        <v>6</v>
      </c>
    </row>
    <row r="104" spans="1:27" x14ac:dyDescent="0.25">
      <c r="A104">
        <f t="shared" si="22"/>
        <v>102</v>
      </c>
      <c r="B104" t="str">
        <f t="shared" si="20"/>
        <v>1d</v>
      </c>
      <c r="D104" s="9">
        <v>7</v>
      </c>
      <c r="E104">
        <f t="shared" si="16"/>
        <v>1</v>
      </c>
      <c r="F104">
        <f t="shared" si="15"/>
        <v>3</v>
      </c>
      <c r="G104" s="1" t="str">
        <f t="shared" si="17"/>
        <v>1</v>
      </c>
      <c r="H104" s="1">
        <f t="shared" si="23"/>
        <v>2</v>
      </c>
      <c r="I104" t="str">
        <f t="shared" si="25"/>
        <v>1.4</v>
      </c>
      <c r="J104" t="s">
        <v>28</v>
      </c>
      <c r="L104" s="1">
        <f t="shared" si="24"/>
        <v>4</v>
      </c>
      <c r="M104" s="1" t="str">
        <f t="shared" si="18"/>
        <v>1</v>
      </c>
      <c r="N104">
        <f t="shared" si="21"/>
        <v>0</v>
      </c>
      <c r="P104" s="13">
        <f t="shared" si="19"/>
        <v>7</v>
      </c>
      <c r="R104">
        <v>6</v>
      </c>
      <c r="S104">
        <v>8</v>
      </c>
      <c r="T104">
        <v>5</v>
      </c>
      <c r="U104">
        <v>8</v>
      </c>
      <c r="V104">
        <v>6</v>
      </c>
      <c r="W104">
        <v>7</v>
      </c>
      <c r="X104">
        <v>8</v>
      </c>
      <c r="Y104">
        <v>8</v>
      </c>
      <c r="Z104">
        <v>8</v>
      </c>
      <c r="AA104">
        <v>6</v>
      </c>
    </row>
    <row r="105" spans="1:27" x14ac:dyDescent="0.25">
      <c r="A105">
        <f t="shared" si="22"/>
        <v>103</v>
      </c>
      <c r="B105" t="str">
        <f t="shared" si="20"/>
        <v>1d1</v>
      </c>
      <c r="D105" s="10">
        <v>9</v>
      </c>
      <c r="E105">
        <f t="shared" si="16"/>
        <v>102</v>
      </c>
      <c r="F105">
        <f t="shared" si="15"/>
        <v>5</v>
      </c>
      <c r="G105" s="1" t="str">
        <f t="shared" si="17"/>
        <v>1.4</v>
      </c>
      <c r="H105" s="1">
        <f t="shared" si="23"/>
        <v>3</v>
      </c>
      <c r="I105" t="str">
        <f t="shared" si="25"/>
        <v>1.4.1</v>
      </c>
      <c r="J105" t="s">
        <v>180</v>
      </c>
      <c r="L105" s="1">
        <f t="shared" si="24"/>
        <v>6</v>
      </c>
      <c r="M105" s="1" t="str">
        <f t="shared" si="18"/>
        <v>1.4</v>
      </c>
      <c r="N105">
        <f t="shared" si="21"/>
        <v>0</v>
      </c>
      <c r="P105" s="13">
        <f t="shared" si="19"/>
        <v>9.1818181818181817</v>
      </c>
      <c r="R105">
        <v>9</v>
      </c>
      <c r="S105">
        <v>7</v>
      </c>
      <c r="T105">
        <v>10</v>
      </c>
      <c r="U105">
        <v>10</v>
      </c>
      <c r="V105">
        <v>10</v>
      </c>
      <c r="W105">
        <v>8</v>
      </c>
      <c r="X105">
        <v>9</v>
      </c>
      <c r="Y105">
        <v>9</v>
      </c>
      <c r="Z105">
        <v>10</v>
      </c>
      <c r="AA105">
        <v>10</v>
      </c>
    </row>
    <row r="106" spans="1:27" x14ac:dyDescent="0.25">
      <c r="A106">
        <f t="shared" si="22"/>
        <v>104</v>
      </c>
      <c r="B106" t="str">
        <f t="shared" si="20"/>
        <v>1d1a</v>
      </c>
      <c r="D106" s="3">
        <v>9</v>
      </c>
      <c r="E106">
        <f t="shared" si="16"/>
        <v>103</v>
      </c>
      <c r="F106">
        <f t="shared" si="15"/>
        <v>7</v>
      </c>
      <c r="G106" s="1" t="str">
        <f t="shared" si="17"/>
        <v>1.4.1</v>
      </c>
      <c r="H106" s="1">
        <f t="shared" si="23"/>
        <v>4</v>
      </c>
      <c r="I106" t="str">
        <f t="shared" si="25"/>
        <v>1.4.1.1</v>
      </c>
      <c r="J106" t="s">
        <v>29</v>
      </c>
      <c r="L106" s="1">
        <f t="shared" si="24"/>
        <v>8</v>
      </c>
      <c r="M106" s="1" t="str">
        <f t="shared" si="18"/>
        <v>1.4.1</v>
      </c>
      <c r="N106">
        <f t="shared" si="21"/>
        <v>0</v>
      </c>
      <c r="P106" s="13">
        <f t="shared" si="19"/>
        <v>8.9090909090909083</v>
      </c>
      <c r="R106">
        <v>8</v>
      </c>
      <c r="S106">
        <v>9</v>
      </c>
      <c r="T106">
        <v>10</v>
      </c>
      <c r="U106">
        <v>9</v>
      </c>
      <c r="V106">
        <v>7</v>
      </c>
      <c r="W106">
        <v>9</v>
      </c>
      <c r="X106">
        <v>9</v>
      </c>
      <c r="Y106">
        <v>10</v>
      </c>
      <c r="Z106">
        <v>8</v>
      </c>
      <c r="AA106">
        <v>10</v>
      </c>
    </row>
    <row r="107" spans="1:27" x14ac:dyDescent="0.25">
      <c r="A107">
        <f t="shared" si="22"/>
        <v>105</v>
      </c>
      <c r="B107" t="str">
        <f t="shared" si="20"/>
        <v>1d1b</v>
      </c>
      <c r="D107" s="3">
        <v>8</v>
      </c>
      <c r="E107">
        <f t="shared" si="16"/>
        <v>103</v>
      </c>
      <c r="F107">
        <f t="shared" si="15"/>
        <v>7</v>
      </c>
      <c r="G107" s="1" t="str">
        <f t="shared" si="17"/>
        <v>1.4.1</v>
      </c>
      <c r="H107" s="1">
        <f t="shared" si="23"/>
        <v>4</v>
      </c>
      <c r="I107" t="str">
        <f t="shared" si="25"/>
        <v>1.4.1.2</v>
      </c>
      <c r="J107" t="s">
        <v>181</v>
      </c>
      <c r="L107" s="1">
        <f t="shared" si="24"/>
        <v>8</v>
      </c>
      <c r="M107" s="1" t="str">
        <f t="shared" si="18"/>
        <v>1.4.1</v>
      </c>
      <c r="N107">
        <f t="shared" si="21"/>
        <v>0</v>
      </c>
      <c r="P107" s="13">
        <f t="shared" si="19"/>
        <v>7.8181818181818183</v>
      </c>
      <c r="R107">
        <v>8</v>
      </c>
      <c r="S107">
        <v>8</v>
      </c>
      <c r="T107">
        <v>10</v>
      </c>
      <c r="U107">
        <v>8</v>
      </c>
      <c r="V107">
        <v>6</v>
      </c>
      <c r="W107">
        <v>9</v>
      </c>
      <c r="X107">
        <v>9</v>
      </c>
      <c r="Y107">
        <v>6</v>
      </c>
      <c r="Z107">
        <v>7</v>
      </c>
      <c r="AA107">
        <v>7</v>
      </c>
    </row>
    <row r="108" spans="1:27" x14ac:dyDescent="0.25">
      <c r="A108">
        <f t="shared" si="22"/>
        <v>106</v>
      </c>
      <c r="B108" t="str">
        <f t="shared" si="20"/>
        <v>1d1c</v>
      </c>
      <c r="D108" s="3">
        <v>7</v>
      </c>
      <c r="E108">
        <f t="shared" si="16"/>
        <v>103</v>
      </c>
      <c r="F108">
        <f t="shared" si="15"/>
        <v>7</v>
      </c>
      <c r="G108" s="1" t="str">
        <f t="shared" si="17"/>
        <v>1.4.1</v>
      </c>
      <c r="H108" s="1">
        <f t="shared" si="23"/>
        <v>4</v>
      </c>
      <c r="I108" t="str">
        <f t="shared" si="25"/>
        <v>1.4.1.3</v>
      </c>
      <c r="J108" t="s">
        <v>182</v>
      </c>
      <c r="L108" s="1">
        <f t="shared" si="24"/>
        <v>8</v>
      </c>
      <c r="M108" s="1" t="str">
        <f t="shared" si="18"/>
        <v>1.4.1</v>
      </c>
      <c r="N108">
        <f t="shared" si="21"/>
        <v>0</v>
      </c>
      <c r="P108" s="13">
        <f t="shared" si="19"/>
        <v>6.6363636363636367</v>
      </c>
      <c r="R108">
        <v>6</v>
      </c>
      <c r="S108">
        <v>7</v>
      </c>
      <c r="T108">
        <v>7</v>
      </c>
      <c r="U108">
        <v>7</v>
      </c>
      <c r="V108">
        <v>5</v>
      </c>
      <c r="W108">
        <v>9</v>
      </c>
      <c r="X108">
        <v>7</v>
      </c>
      <c r="Y108">
        <v>7</v>
      </c>
      <c r="Z108">
        <v>5</v>
      </c>
      <c r="AA108">
        <v>6</v>
      </c>
    </row>
    <row r="109" spans="1:27" x14ac:dyDescent="0.25">
      <c r="A109">
        <f t="shared" si="22"/>
        <v>107</v>
      </c>
      <c r="B109" t="str">
        <f t="shared" si="20"/>
        <v>1d1d</v>
      </c>
      <c r="D109" s="3">
        <v>7</v>
      </c>
      <c r="E109">
        <f t="shared" si="16"/>
        <v>103</v>
      </c>
      <c r="F109">
        <f t="shared" si="15"/>
        <v>7</v>
      </c>
      <c r="G109" s="1" t="str">
        <f t="shared" si="17"/>
        <v>1.4.1</v>
      </c>
      <c r="H109" s="1">
        <f t="shared" si="23"/>
        <v>4</v>
      </c>
      <c r="I109" t="str">
        <f t="shared" si="25"/>
        <v>1.4.1.4</v>
      </c>
      <c r="J109" t="s">
        <v>183</v>
      </c>
      <c r="L109" s="1">
        <f t="shared" si="24"/>
        <v>8</v>
      </c>
      <c r="M109" s="1" t="str">
        <f t="shared" si="18"/>
        <v>1.4.1</v>
      </c>
      <c r="N109">
        <f t="shared" si="21"/>
        <v>0</v>
      </c>
      <c r="P109" s="13">
        <f t="shared" si="19"/>
        <v>6.9090909090909092</v>
      </c>
      <c r="R109">
        <v>8</v>
      </c>
      <c r="S109">
        <v>7</v>
      </c>
      <c r="T109">
        <v>10</v>
      </c>
      <c r="U109">
        <v>6</v>
      </c>
      <c r="V109">
        <v>3</v>
      </c>
      <c r="W109">
        <v>7</v>
      </c>
      <c r="X109">
        <v>7</v>
      </c>
      <c r="Y109">
        <v>6</v>
      </c>
      <c r="Z109">
        <v>8</v>
      </c>
      <c r="AA109">
        <v>7</v>
      </c>
    </row>
    <row r="110" spans="1:27" x14ac:dyDescent="0.25">
      <c r="A110">
        <f t="shared" si="22"/>
        <v>108</v>
      </c>
      <c r="B110" t="str">
        <f t="shared" si="20"/>
        <v>1d1e</v>
      </c>
      <c r="D110" s="3">
        <v>7</v>
      </c>
      <c r="E110">
        <f t="shared" si="16"/>
        <v>103</v>
      </c>
      <c r="F110">
        <f t="shared" si="15"/>
        <v>7</v>
      </c>
      <c r="G110" s="1" t="str">
        <f t="shared" si="17"/>
        <v>1.4.1</v>
      </c>
      <c r="H110" s="1">
        <f t="shared" si="23"/>
        <v>4</v>
      </c>
      <c r="I110" t="str">
        <f t="shared" si="25"/>
        <v>1.4.1.5</v>
      </c>
      <c r="J110" t="s">
        <v>184</v>
      </c>
      <c r="L110" s="1">
        <f t="shared" si="24"/>
        <v>8</v>
      </c>
      <c r="M110" s="1" t="str">
        <f t="shared" si="18"/>
        <v>1.4.1</v>
      </c>
      <c r="N110">
        <f t="shared" si="21"/>
        <v>0</v>
      </c>
      <c r="P110" s="13">
        <f t="shared" si="19"/>
        <v>6.8181818181818183</v>
      </c>
      <c r="R110">
        <v>7</v>
      </c>
      <c r="S110">
        <v>6</v>
      </c>
      <c r="T110">
        <v>8</v>
      </c>
      <c r="U110">
        <v>8</v>
      </c>
      <c r="V110">
        <v>7</v>
      </c>
      <c r="W110">
        <v>5</v>
      </c>
      <c r="X110">
        <v>6</v>
      </c>
      <c r="Y110">
        <v>8</v>
      </c>
      <c r="Z110">
        <v>7</v>
      </c>
      <c r="AA110">
        <v>6</v>
      </c>
    </row>
    <row r="111" spans="1:27" x14ac:dyDescent="0.25">
      <c r="A111">
        <f t="shared" si="22"/>
        <v>109</v>
      </c>
      <c r="B111" t="str">
        <f t="shared" si="20"/>
        <v>1d1f</v>
      </c>
      <c r="D111" s="3">
        <v>5</v>
      </c>
      <c r="E111">
        <f t="shared" si="16"/>
        <v>103</v>
      </c>
      <c r="F111">
        <f t="shared" si="15"/>
        <v>7</v>
      </c>
      <c r="G111" s="1" t="str">
        <f t="shared" si="17"/>
        <v>1.4.1</v>
      </c>
      <c r="H111" s="1">
        <f t="shared" si="23"/>
        <v>4</v>
      </c>
      <c r="I111" t="str">
        <f t="shared" si="25"/>
        <v>1.4.1.6</v>
      </c>
      <c r="J111" t="s">
        <v>185</v>
      </c>
      <c r="L111" s="1">
        <f t="shared" si="24"/>
        <v>8</v>
      </c>
      <c r="M111" s="1" t="str">
        <f t="shared" si="18"/>
        <v>1.4.1</v>
      </c>
      <c r="N111">
        <f t="shared" si="21"/>
        <v>0</v>
      </c>
      <c r="P111" s="13">
        <f t="shared" si="19"/>
        <v>5</v>
      </c>
      <c r="R111">
        <v>5</v>
      </c>
      <c r="S111">
        <v>5</v>
      </c>
      <c r="T111">
        <v>5</v>
      </c>
      <c r="U111">
        <v>5</v>
      </c>
      <c r="V111">
        <v>8</v>
      </c>
      <c r="W111">
        <v>4</v>
      </c>
      <c r="X111">
        <v>5</v>
      </c>
      <c r="Y111">
        <v>5</v>
      </c>
      <c r="Z111">
        <v>3</v>
      </c>
      <c r="AA111">
        <v>5</v>
      </c>
    </row>
    <row r="112" spans="1:27" x14ac:dyDescent="0.25">
      <c r="A112">
        <f t="shared" si="22"/>
        <v>110</v>
      </c>
      <c r="B112" t="str">
        <f t="shared" si="20"/>
        <v>1d2</v>
      </c>
      <c r="D112" s="10">
        <v>8</v>
      </c>
      <c r="E112">
        <f t="shared" si="16"/>
        <v>102</v>
      </c>
      <c r="F112">
        <f t="shared" si="15"/>
        <v>5</v>
      </c>
      <c r="G112" s="1" t="str">
        <f t="shared" si="17"/>
        <v>1.4</v>
      </c>
      <c r="H112" s="1">
        <f t="shared" si="23"/>
        <v>3</v>
      </c>
      <c r="I112" t="str">
        <f t="shared" si="25"/>
        <v>1.4.2</v>
      </c>
      <c r="J112" t="s">
        <v>30</v>
      </c>
      <c r="L112" s="1">
        <f t="shared" si="24"/>
        <v>6</v>
      </c>
      <c r="M112" s="1" t="str">
        <f t="shared" si="18"/>
        <v>1.4</v>
      </c>
      <c r="N112">
        <f t="shared" si="21"/>
        <v>0</v>
      </c>
      <c r="P112" s="13">
        <f t="shared" si="19"/>
        <v>8.0909090909090917</v>
      </c>
      <c r="R112">
        <v>8</v>
      </c>
      <c r="S112">
        <v>8</v>
      </c>
      <c r="T112">
        <v>8</v>
      </c>
      <c r="U112">
        <v>8</v>
      </c>
      <c r="V112">
        <v>6</v>
      </c>
      <c r="W112">
        <v>8</v>
      </c>
      <c r="X112">
        <v>10</v>
      </c>
      <c r="Y112">
        <v>8</v>
      </c>
      <c r="Z112">
        <v>9</v>
      </c>
      <c r="AA112">
        <v>8</v>
      </c>
    </row>
    <row r="113" spans="1:27" x14ac:dyDescent="0.25">
      <c r="A113">
        <f t="shared" si="22"/>
        <v>111</v>
      </c>
      <c r="B113" t="str">
        <f t="shared" si="20"/>
        <v>1d2a</v>
      </c>
      <c r="D113" s="3">
        <v>9</v>
      </c>
      <c r="E113">
        <f t="shared" si="16"/>
        <v>110</v>
      </c>
      <c r="F113">
        <f t="shared" si="15"/>
        <v>7</v>
      </c>
      <c r="G113" s="1" t="str">
        <f t="shared" si="17"/>
        <v>1.4.2</v>
      </c>
      <c r="H113" s="1">
        <f t="shared" si="23"/>
        <v>4</v>
      </c>
      <c r="I113" t="str">
        <f t="shared" si="25"/>
        <v>1.4.2.1</v>
      </c>
      <c r="J113" t="s">
        <v>31</v>
      </c>
      <c r="L113" s="1">
        <f t="shared" si="24"/>
        <v>8</v>
      </c>
      <c r="M113" s="1" t="str">
        <f t="shared" si="18"/>
        <v>1.4.2</v>
      </c>
      <c r="N113">
        <f t="shared" si="21"/>
        <v>0</v>
      </c>
      <c r="P113" s="13">
        <f t="shared" si="19"/>
        <v>8.9090909090909083</v>
      </c>
      <c r="R113">
        <v>8</v>
      </c>
      <c r="S113">
        <v>10</v>
      </c>
      <c r="T113">
        <v>7</v>
      </c>
      <c r="U113">
        <v>7</v>
      </c>
      <c r="V113">
        <v>10</v>
      </c>
      <c r="W113">
        <v>9</v>
      </c>
      <c r="X113">
        <v>10</v>
      </c>
      <c r="Y113">
        <v>10</v>
      </c>
      <c r="Z113">
        <v>10</v>
      </c>
      <c r="AA113">
        <v>8</v>
      </c>
    </row>
    <row r="114" spans="1:27" x14ac:dyDescent="0.25">
      <c r="A114">
        <f t="shared" si="22"/>
        <v>112</v>
      </c>
      <c r="B114" t="str">
        <f t="shared" si="20"/>
        <v>1d2b</v>
      </c>
      <c r="D114" s="3">
        <v>7</v>
      </c>
      <c r="E114">
        <f t="shared" si="16"/>
        <v>110</v>
      </c>
      <c r="F114">
        <f t="shared" si="15"/>
        <v>7</v>
      </c>
      <c r="G114" s="1" t="str">
        <f t="shared" si="17"/>
        <v>1.4.2</v>
      </c>
      <c r="H114" s="1">
        <f t="shared" si="23"/>
        <v>4</v>
      </c>
      <c r="I114" t="str">
        <f t="shared" si="25"/>
        <v>1.4.2.2</v>
      </c>
      <c r="J114" t="s">
        <v>186</v>
      </c>
      <c r="L114" s="1">
        <f t="shared" si="24"/>
        <v>8</v>
      </c>
      <c r="M114" s="1" t="str">
        <f t="shared" si="18"/>
        <v>1.4.2</v>
      </c>
      <c r="N114">
        <f t="shared" si="21"/>
        <v>0</v>
      </c>
      <c r="P114" s="13">
        <f t="shared" si="19"/>
        <v>7.0909090909090908</v>
      </c>
      <c r="R114">
        <v>6</v>
      </c>
      <c r="S114">
        <v>10</v>
      </c>
      <c r="T114">
        <v>6</v>
      </c>
      <c r="U114">
        <v>5</v>
      </c>
      <c r="V114">
        <v>6</v>
      </c>
      <c r="W114">
        <v>6</v>
      </c>
      <c r="X114">
        <v>6</v>
      </c>
      <c r="Y114">
        <v>8</v>
      </c>
      <c r="Z114">
        <v>10</v>
      </c>
      <c r="AA114">
        <v>8</v>
      </c>
    </row>
    <row r="115" spans="1:27" x14ac:dyDescent="0.25">
      <c r="A115">
        <f t="shared" si="22"/>
        <v>113</v>
      </c>
      <c r="B115" t="str">
        <f t="shared" si="20"/>
        <v>1d2c</v>
      </c>
      <c r="D115" s="3">
        <v>8</v>
      </c>
      <c r="E115">
        <f t="shared" si="16"/>
        <v>110</v>
      </c>
      <c r="F115">
        <f t="shared" si="15"/>
        <v>7</v>
      </c>
      <c r="G115" s="1" t="str">
        <f t="shared" si="17"/>
        <v>1.4.2</v>
      </c>
      <c r="H115" s="1">
        <f t="shared" si="23"/>
        <v>4</v>
      </c>
      <c r="I115" t="str">
        <f t="shared" si="25"/>
        <v>1.4.2.3</v>
      </c>
      <c r="J115" t="s">
        <v>32</v>
      </c>
      <c r="L115" s="1">
        <f t="shared" si="24"/>
        <v>8</v>
      </c>
      <c r="M115" s="1" t="str">
        <f t="shared" si="18"/>
        <v>1.4.2</v>
      </c>
      <c r="N115">
        <f t="shared" si="21"/>
        <v>0</v>
      </c>
      <c r="P115" s="13">
        <f t="shared" si="19"/>
        <v>8.0909090909090917</v>
      </c>
      <c r="R115">
        <v>7</v>
      </c>
      <c r="S115">
        <v>9</v>
      </c>
      <c r="T115">
        <v>9</v>
      </c>
      <c r="U115">
        <v>7</v>
      </c>
      <c r="V115">
        <v>10</v>
      </c>
      <c r="W115">
        <v>7</v>
      </c>
      <c r="X115">
        <v>8</v>
      </c>
      <c r="Y115">
        <v>6</v>
      </c>
      <c r="Z115">
        <v>10</v>
      </c>
      <c r="AA115">
        <v>8</v>
      </c>
    </row>
    <row r="116" spans="1:27" x14ac:dyDescent="0.25">
      <c r="A116">
        <f t="shared" si="22"/>
        <v>114</v>
      </c>
      <c r="B116" t="str">
        <f t="shared" si="20"/>
        <v>1d2d</v>
      </c>
      <c r="D116" s="3">
        <v>5</v>
      </c>
      <c r="E116">
        <f t="shared" si="16"/>
        <v>110</v>
      </c>
      <c r="F116">
        <f t="shared" si="15"/>
        <v>7</v>
      </c>
      <c r="G116" s="1" t="str">
        <f t="shared" si="17"/>
        <v>1.4.2</v>
      </c>
      <c r="H116" s="1">
        <f t="shared" si="23"/>
        <v>4</v>
      </c>
      <c r="I116" t="str">
        <f t="shared" si="25"/>
        <v>1.4.2.4</v>
      </c>
      <c r="J116" t="s">
        <v>33</v>
      </c>
      <c r="L116" s="1">
        <f t="shared" si="24"/>
        <v>8</v>
      </c>
      <c r="M116" s="1" t="str">
        <f t="shared" si="18"/>
        <v>1.4.2</v>
      </c>
      <c r="N116">
        <f t="shared" si="21"/>
        <v>0</v>
      </c>
      <c r="P116" s="13">
        <f t="shared" si="19"/>
        <v>5.1818181818181817</v>
      </c>
      <c r="R116">
        <v>4</v>
      </c>
      <c r="S116">
        <v>4</v>
      </c>
      <c r="T116">
        <v>9</v>
      </c>
      <c r="U116">
        <v>5</v>
      </c>
      <c r="V116">
        <v>6</v>
      </c>
      <c r="W116">
        <v>5</v>
      </c>
      <c r="X116">
        <v>3</v>
      </c>
      <c r="Y116">
        <v>5</v>
      </c>
      <c r="Z116">
        <v>6</v>
      </c>
      <c r="AA116">
        <v>5</v>
      </c>
    </row>
    <row r="117" spans="1:27" x14ac:dyDescent="0.25">
      <c r="A117">
        <f t="shared" si="22"/>
        <v>115</v>
      </c>
      <c r="B117" t="str">
        <f t="shared" si="20"/>
        <v>1d3</v>
      </c>
      <c r="D117" s="10">
        <v>6</v>
      </c>
      <c r="E117">
        <f t="shared" si="16"/>
        <v>102</v>
      </c>
      <c r="F117">
        <f t="shared" si="15"/>
        <v>5</v>
      </c>
      <c r="G117" s="1" t="str">
        <f t="shared" si="17"/>
        <v>1.4</v>
      </c>
      <c r="H117" s="1">
        <f t="shared" si="23"/>
        <v>3</v>
      </c>
      <c r="I117" t="str">
        <f t="shared" si="25"/>
        <v>1.4.3</v>
      </c>
      <c r="J117" t="s">
        <v>34</v>
      </c>
      <c r="L117" s="1">
        <f t="shared" si="24"/>
        <v>6</v>
      </c>
      <c r="M117" s="1" t="str">
        <f t="shared" si="18"/>
        <v>1.4</v>
      </c>
      <c r="N117">
        <f t="shared" si="21"/>
        <v>0</v>
      </c>
      <c r="P117" s="13">
        <f t="shared" si="19"/>
        <v>6.6363636363636367</v>
      </c>
      <c r="R117">
        <v>7</v>
      </c>
      <c r="S117">
        <v>4</v>
      </c>
      <c r="T117">
        <v>7</v>
      </c>
      <c r="U117">
        <v>5</v>
      </c>
      <c r="V117">
        <v>9</v>
      </c>
      <c r="W117">
        <v>6</v>
      </c>
      <c r="X117">
        <v>7</v>
      </c>
      <c r="Y117">
        <v>5</v>
      </c>
      <c r="Z117">
        <v>10</v>
      </c>
      <c r="AA117">
        <v>7</v>
      </c>
    </row>
    <row r="118" spans="1:27" x14ac:dyDescent="0.25">
      <c r="A118">
        <f t="shared" si="22"/>
        <v>116</v>
      </c>
      <c r="B118" t="str">
        <f t="shared" si="20"/>
        <v>1d3a</v>
      </c>
      <c r="D118" s="3">
        <v>8</v>
      </c>
      <c r="E118">
        <f t="shared" si="16"/>
        <v>115</v>
      </c>
      <c r="F118">
        <f t="shared" si="15"/>
        <v>7</v>
      </c>
      <c r="G118" s="1" t="str">
        <f t="shared" si="17"/>
        <v>1.4.3</v>
      </c>
      <c r="H118" s="1">
        <f t="shared" si="23"/>
        <v>4</v>
      </c>
      <c r="I118" t="str">
        <f t="shared" si="25"/>
        <v>1.4.3.1</v>
      </c>
      <c r="J118" t="s">
        <v>35</v>
      </c>
      <c r="L118" s="1">
        <f t="shared" si="24"/>
        <v>8</v>
      </c>
      <c r="M118" s="1" t="str">
        <f t="shared" si="18"/>
        <v>1.4.3</v>
      </c>
      <c r="N118">
        <f t="shared" si="21"/>
        <v>0</v>
      </c>
      <c r="P118" s="13">
        <f t="shared" si="19"/>
        <v>7.2727272727272725</v>
      </c>
      <c r="R118">
        <v>7</v>
      </c>
      <c r="S118">
        <v>9</v>
      </c>
      <c r="T118">
        <v>5</v>
      </c>
      <c r="U118">
        <v>9</v>
      </c>
      <c r="V118">
        <v>7</v>
      </c>
      <c r="W118">
        <v>9</v>
      </c>
      <c r="X118">
        <v>8</v>
      </c>
      <c r="Y118">
        <v>8</v>
      </c>
      <c r="Z118">
        <v>2</v>
      </c>
      <c r="AA118">
        <v>8</v>
      </c>
    </row>
    <row r="119" spans="1:27" x14ac:dyDescent="0.25">
      <c r="A119">
        <f t="shared" si="22"/>
        <v>117</v>
      </c>
      <c r="B119" t="str">
        <f t="shared" si="20"/>
        <v>1d3b</v>
      </c>
      <c r="D119" s="3">
        <v>5</v>
      </c>
      <c r="E119">
        <f t="shared" si="16"/>
        <v>115</v>
      </c>
      <c r="F119">
        <f t="shared" si="15"/>
        <v>7</v>
      </c>
      <c r="G119" s="1" t="str">
        <f t="shared" si="17"/>
        <v>1.4.3</v>
      </c>
      <c r="H119" s="1">
        <f t="shared" si="23"/>
        <v>4</v>
      </c>
      <c r="I119" t="str">
        <f t="shared" si="25"/>
        <v>1.4.3.2</v>
      </c>
      <c r="J119" t="s">
        <v>36</v>
      </c>
      <c r="L119" s="1">
        <f t="shared" si="24"/>
        <v>8</v>
      </c>
      <c r="M119" s="1" t="str">
        <f t="shared" si="18"/>
        <v>1.4.3</v>
      </c>
      <c r="N119">
        <f t="shared" si="21"/>
        <v>0</v>
      </c>
      <c r="P119" s="13">
        <f t="shared" si="19"/>
        <v>5.9090909090909092</v>
      </c>
      <c r="R119">
        <v>5</v>
      </c>
      <c r="S119">
        <v>4</v>
      </c>
      <c r="T119">
        <v>7</v>
      </c>
      <c r="U119">
        <v>5</v>
      </c>
      <c r="V119">
        <v>7</v>
      </c>
      <c r="W119">
        <v>4</v>
      </c>
      <c r="X119">
        <v>6</v>
      </c>
      <c r="Y119">
        <v>5</v>
      </c>
      <c r="Z119">
        <v>10</v>
      </c>
      <c r="AA119">
        <v>7</v>
      </c>
    </row>
    <row r="120" spans="1:27" x14ac:dyDescent="0.25">
      <c r="A120">
        <f t="shared" si="22"/>
        <v>118</v>
      </c>
      <c r="B120" t="str">
        <f t="shared" si="20"/>
        <v>1d3c</v>
      </c>
      <c r="D120" s="3">
        <v>5</v>
      </c>
      <c r="E120">
        <f t="shared" si="16"/>
        <v>115</v>
      </c>
      <c r="F120">
        <f t="shared" si="15"/>
        <v>7</v>
      </c>
      <c r="G120" s="1" t="str">
        <f t="shared" si="17"/>
        <v>1.4.3</v>
      </c>
      <c r="H120" s="1">
        <f t="shared" si="23"/>
        <v>4</v>
      </c>
      <c r="I120" t="str">
        <f t="shared" si="25"/>
        <v>1.4.3.3</v>
      </c>
      <c r="J120" t="s">
        <v>37</v>
      </c>
      <c r="L120" s="1">
        <f t="shared" si="24"/>
        <v>8</v>
      </c>
      <c r="M120" s="1" t="str">
        <f t="shared" si="18"/>
        <v>1.4.3</v>
      </c>
      <c r="N120">
        <f t="shared" si="21"/>
        <v>0</v>
      </c>
      <c r="P120" s="13">
        <f t="shared" si="19"/>
        <v>5.6363636363636367</v>
      </c>
      <c r="R120">
        <v>4</v>
      </c>
      <c r="S120">
        <v>4</v>
      </c>
      <c r="T120">
        <v>6</v>
      </c>
      <c r="U120">
        <v>6</v>
      </c>
      <c r="V120">
        <v>6</v>
      </c>
      <c r="W120">
        <v>5</v>
      </c>
      <c r="X120">
        <v>7</v>
      </c>
      <c r="Y120">
        <v>5</v>
      </c>
      <c r="Z120">
        <v>8</v>
      </c>
      <c r="AA120">
        <v>6</v>
      </c>
    </row>
    <row r="121" spans="1:27" x14ac:dyDescent="0.25">
      <c r="A121">
        <f t="shared" si="22"/>
        <v>119</v>
      </c>
      <c r="B121" t="str">
        <f t="shared" si="20"/>
        <v>1d3d</v>
      </c>
      <c r="D121" s="3">
        <v>5</v>
      </c>
      <c r="E121">
        <f t="shared" si="16"/>
        <v>115</v>
      </c>
      <c r="F121">
        <f t="shared" si="15"/>
        <v>7</v>
      </c>
      <c r="G121" s="1" t="str">
        <f t="shared" si="17"/>
        <v>1.4.3</v>
      </c>
      <c r="H121" s="1">
        <f t="shared" si="23"/>
        <v>4</v>
      </c>
      <c r="I121" t="str">
        <f t="shared" si="25"/>
        <v>1.4.3.4</v>
      </c>
      <c r="J121" t="s">
        <v>38</v>
      </c>
      <c r="L121" s="1">
        <f t="shared" si="24"/>
        <v>8</v>
      </c>
      <c r="M121" s="1" t="str">
        <f t="shared" si="18"/>
        <v>1.4.3</v>
      </c>
      <c r="N121">
        <f t="shared" si="21"/>
        <v>0</v>
      </c>
      <c r="P121" s="13">
        <f t="shared" si="19"/>
        <v>4.3636363636363633</v>
      </c>
      <c r="R121">
        <v>4</v>
      </c>
      <c r="S121">
        <v>4</v>
      </c>
      <c r="T121">
        <v>3</v>
      </c>
      <c r="U121">
        <v>4</v>
      </c>
      <c r="V121">
        <v>5</v>
      </c>
      <c r="W121">
        <v>4</v>
      </c>
      <c r="X121">
        <v>6</v>
      </c>
      <c r="Y121">
        <v>5</v>
      </c>
      <c r="Z121">
        <v>5</v>
      </c>
      <c r="AA121">
        <v>3</v>
      </c>
    </row>
    <row r="122" spans="1:27" x14ac:dyDescent="0.25">
      <c r="A122">
        <f t="shared" si="22"/>
        <v>120</v>
      </c>
      <c r="B122" t="str">
        <f t="shared" si="20"/>
        <v>1d3e</v>
      </c>
      <c r="D122" s="3">
        <v>6</v>
      </c>
      <c r="E122">
        <f t="shared" si="16"/>
        <v>115</v>
      </c>
      <c r="F122">
        <f t="shared" si="15"/>
        <v>7</v>
      </c>
      <c r="G122" s="1" t="str">
        <f t="shared" si="17"/>
        <v>1.4.3</v>
      </c>
      <c r="H122" s="1">
        <f t="shared" si="23"/>
        <v>4</v>
      </c>
      <c r="I122" t="str">
        <f t="shared" si="25"/>
        <v>1.4.3.5</v>
      </c>
      <c r="J122" t="s">
        <v>187</v>
      </c>
      <c r="L122" s="1">
        <f t="shared" si="24"/>
        <v>8</v>
      </c>
      <c r="M122" s="1" t="str">
        <f t="shared" si="18"/>
        <v>1.4.3</v>
      </c>
      <c r="N122">
        <f t="shared" si="21"/>
        <v>0</v>
      </c>
      <c r="P122" s="13">
        <f t="shared" si="19"/>
        <v>5.8181818181818183</v>
      </c>
      <c r="R122">
        <v>8</v>
      </c>
      <c r="S122">
        <v>7</v>
      </c>
      <c r="T122">
        <v>5</v>
      </c>
      <c r="U122">
        <v>5</v>
      </c>
      <c r="V122">
        <v>7</v>
      </c>
      <c r="W122">
        <v>4</v>
      </c>
      <c r="X122">
        <v>7</v>
      </c>
      <c r="Y122">
        <v>5</v>
      </c>
      <c r="Z122">
        <v>4</v>
      </c>
      <c r="AA122">
        <v>6</v>
      </c>
    </row>
    <row r="123" spans="1:27" x14ac:dyDescent="0.25">
      <c r="A123">
        <f t="shared" si="22"/>
        <v>121</v>
      </c>
      <c r="B123" t="str">
        <f t="shared" si="20"/>
        <v>1d3f</v>
      </c>
      <c r="D123" s="3">
        <v>3</v>
      </c>
      <c r="E123">
        <f t="shared" si="16"/>
        <v>115</v>
      </c>
      <c r="F123">
        <f t="shared" si="15"/>
        <v>7</v>
      </c>
      <c r="G123" s="1" t="str">
        <f t="shared" si="17"/>
        <v>1.4.3</v>
      </c>
      <c r="H123" s="1">
        <f t="shared" si="23"/>
        <v>4</v>
      </c>
      <c r="I123" t="str">
        <f t="shared" si="25"/>
        <v>1.4.3.6</v>
      </c>
      <c r="J123" t="s">
        <v>39</v>
      </c>
      <c r="L123" s="1">
        <f t="shared" si="24"/>
        <v>8</v>
      </c>
      <c r="M123" s="1" t="str">
        <f t="shared" si="18"/>
        <v>1.4.3</v>
      </c>
      <c r="N123">
        <f t="shared" si="21"/>
        <v>0</v>
      </c>
      <c r="P123" s="13">
        <f t="shared" si="19"/>
        <v>3</v>
      </c>
      <c r="R123">
        <v>2</v>
      </c>
      <c r="S123">
        <v>3</v>
      </c>
      <c r="T123">
        <v>3</v>
      </c>
      <c r="U123">
        <v>3</v>
      </c>
      <c r="V123">
        <v>3</v>
      </c>
      <c r="W123">
        <v>2</v>
      </c>
      <c r="X123">
        <v>2</v>
      </c>
      <c r="Y123">
        <v>5</v>
      </c>
      <c r="Z123">
        <v>4</v>
      </c>
      <c r="AA123">
        <v>3</v>
      </c>
    </row>
    <row r="124" spans="1:27" x14ac:dyDescent="0.25">
      <c r="A124">
        <f t="shared" si="22"/>
        <v>122</v>
      </c>
      <c r="B124" t="str">
        <f t="shared" si="20"/>
        <v>1d3g</v>
      </c>
      <c r="D124" s="3">
        <v>7</v>
      </c>
      <c r="E124">
        <f t="shared" si="16"/>
        <v>115</v>
      </c>
      <c r="F124">
        <f t="shared" si="15"/>
        <v>7</v>
      </c>
      <c r="G124" s="1" t="str">
        <f t="shared" si="17"/>
        <v>1.4.3</v>
      </c>
      <c r="H124" s="1">
        <f t="shared" si="23"/>
        <v>4</v>
      </c>
      <c r="I124" t="str">
        <f t="shared" si="25"/>
        <v>1.4.3.7</v>
      </c>
      <c r="J124" t="s">
        <v>188</v>
      </c>
      <c r="L124" s="1">
        <f t="shared" si="24"/>
        <v>8</v>
      </c>
      <c r="M124" s="1" t="str">
        <f t="shared" si="18"/>
        <v>1.4.3</v>
      </c>
      <c r="N124">
        <f t="shared" si="21"/>
        <v>0</v>
      </c>
      <c r="P124" s="13">
        <f t="shared" si="19"/>
        <v>7.2727272727272725</v>
      </c>
      <c r="R124">
        <v>7</v>
      </c>
      <c r="S124">
        <v>7</v>
      </c>
      <c r="T124">
        <v>5</v>
      </c>
      <c r="U124">
        <v>7</v>
      </c>
      <c r="V124">
        <v>9</v>
      </c>
      <c r="W124">
        <v>7</v>
      </c>
      <c r="X124">
        <v>9</v>
      </c>
      <c r="Y124">
        <v>7</v>
      </c>
      <c r="Z124">
        <v>7</v>
      </c>
      <c r="AA124">
        <v>8</v>
      </c>
    </row>
    <row r="125" spans="1:27" x14ac:dyDescent="0.25">
      <c r="A125">
        <f t="shared" si="22"/>
        <v>123</v>
      </c>
      <c r="B125" t="str">
        <f t="shared" si="20"/>
        <v>1d3h</v>
      </c>
      <c r="D125" s="3">
        <v>7</v>
      </c>
      <c r="E125">
        <f t="shared" si="16"/>
        <v>115</v>
      </c>
      <c r="F125">
        <f t="shared" si="15"/>
        <v>7</v>
      </c>
      <c r="G125" s="1" t="str">
        <f t="shared" si="17"/>
        <v>1.4.3</v>
      </c>
      <c r="H125" s="1">
        <f t="shared" si="23"/>
        <v>4</v>
      </c>
      <c r="I125" t="str">
        <f t="shared" si="25"/>
        <v>1.4.3.8</v>
      </c>
      <c r="J125" t="s">
        <v>189</v>
      </c>
      <c r="L125" s="1">
        <f t="shared" si="24"/>
        <v>8</v>
      </c>
      <c r="M125" s="1" t="str">
        <f t="shared" si="18"/>
        <v>1.4.3</v>
      </c>
      <c r="N125">
        <f t="shared" si="21"/>
        <v>0</v>
      </c>
      <c r="P125" s="13">
        <f t="shared" si="19"/>
        <v>8</v>
      </c>
      <c r="R125">
        <v>7</v>
      </c>
      <c r="S125">
        <v>7</v>
      </c>
      <c r="T125">
        <v>9</v>
      </c>
      <c r="U125">
        <v>8</v>
      </c>
      <c r="V125">
        <v>9</v>
      </c>
      <c r="W125">
        <v>7</v>
      </c>
      <c r="X125">
        <v>8</v>
      </c>
      <c r="Y125">
        <v>8</v>
      </c>
      <c r="Z125">
        <v>10</v>
      </c>
      <c r="AA125">
        <v>8</v>
      </c>
    </row>
    <row r="126" spans="1:27" x14ac:dyDescent="0.25">
      <c r="A126">
        <f t="shared" si="22"/>
        <v>124</v>
      </c>
      <c r="B126" t="str">
        <f t="shared" si="20"/>
        <v>1d3i</v>
      </c>
      <c r="D126" s="3">
        <v>7</v>
      </c>
      <c r="E126">
        <f t="shared" si="16"/>
        <v>115</v>
      </c>
      <c r="F126">
        <f t="shared" si="15"/>
        <v>7</v>
      </c>
      <c r="G126" s="1" t="str">
        <f t="shared" si="17"/>
        <v>1.4.3</v>
      </c>
      <c r="H126" s="1">
        <f t="shared" si="23"/>
        <v>4</v>
      </c>
      <c r="I126" t="str">
        <f t="shared" si="25"/>
        <v>1.4.3.9</v>
      </c>
      <c r="J126" t="s">
        <v>190</v>
      </c>
      <c r="L126" s="1">
        <f t="shared" si="24"/>
        <v>8</v>
      </c>
      <c r="M126" s="1" t="str">
        <f t="shared" si="18"/>
        <v>1.4.3</v>
      </c>
      <c r="N126">
        <f t="shared" si="21"/>
        <v>0</v>
      </c>
      <c r="P126" s="13">
        <f t="shared" si="19"/>
        <v>6.7272727272727275</v>
      </c>
      <c r="R126">
        <v>8</v>
      </c>
      <c r="S126">
        <v>9</v>
      </c>
      <c r="T126">
        <v>5</v>
      </c>
      <c r="U126">
        <v>7</v>
      </c>
      <c r="V126">
        <v>6</v>
      </c>
      <c r="W126">
        <v>6</v>
      </c>
      <c r="X126">
        <v>6</v>
      </c>
      <c r="Y126">
        <v>6</v>
      </c>
      <c r="Z126">
        <v>6</v>
      </c>
      <c r="AA126">
        <v>8</v>
      </c>
    </row>
    <row r="127" spans="1:27" x14ac:dyDescent="0.25">
      <c r="A127">
        <f t="shared" si="22"/>
        <v>125</v>
      </c>
      <c r="B127" t="str">
        <f t="shared" si="20"/>
        <v>1d3j</v>
      </c>
      <c r="D127" s="3">
        <v>5</v>
      </c>
      <c r="E127">
        <f t="shared" si="16"/>
        <v>115</v>
      </c>
      <c r="F127">
        <f t="shared" si="15"/>
        <v>8</v>
      </c>
      <c r="G127" s="1" t="str">
        <f t="shared" si="17"/>
        <v>1.4.3</v>
      </c>
      <c r="H127" s="1">
        <f t="shared" si="23"/>
        <v>4</v>
      </c>
      <c r="I127" t="str">
        <f t="shared" si="25"/>
        <v>1.4.3.10</v>
      </c>
      <c r="J127" t="s">
        <v>191</v>
      </c>
      <c r="L127" s="1">
        <f t="shared" si="24"/>
        <v>9</v>
      </c>
      <c r="M127" s="1" t="str">
        <f t="shared" si="18"/>
        <v>1.4.3.</v>
      </c>
      <c r="N127">
        <f t="shared" si="21"/>
        <v>1</v>
      </c>
      <c r="P127" s="13">
        <f t="shared" si="19"/>
        <v>4.3636363636363633</v>
      </c>
      <c r="R127">
        <v>4</v>
      </c>
      <c r="S127">
        <v>4</v>
      </c>
      <c r="T127">
        <v>2</v>
      </c>
      <c r="U127">
        <v>5</v>
      </c>
      <c r="V127">
        <v>0</v>
      </c>
      <c r="W127">
        <v>7</v>
      </c>
      <c r="X127">
        <v>5</v>
      </c>
      <c r="Y127">
        <v>5</v>
      </c>
      <c r="Z127">
        <v>7</v>
      </c>
      <c r="AA127">
        <v>4</v>
      </c>
    </row>
    <row r="128" spans="1:27" x14ac:dyDescent="0.25">
      <c r="A128">
        <f t="shared" si="22"/>
        <v>126</v>
      </c>
      <c r="B128" t="str">
        <f t="shared" si="20"/>
        <v>1e</v>
      </c>
      <c r="D128" s="9">
        <v>6</v>
      </c>
      <c r="E128">
        <f t="shared" si="16"/>
        <v>1</v>
      </c>
      <c r="F128">
        <f t="shared" si="15"/>
        <v>3</v>
      </c>
      <c r="G128" s="1" t="str">
        <f t="shared" si="17"/>
        <v>1</v>
      </c>
      <c r="H128" s="1">
        <f t="shared" si="23"/>
        <v>2</v>
      </c>
      <c r="I128" t="str">
        <f t="shared" si="25"/>
        <v>1.5</v>
      </c>
      <c r="J128" t="s">
        <v>40</v>
      </c>
      <c r="L128" s="1">
        <f t="shared" si="24"/>
        <v>4</v>
      </c>
      <c r="M128" s="1" t="str">
        <f t="shared" si="18"/>
        <v>1</v>
      </c>
      <c r="N128">
        <f t="shared" si="21"/>
        <v>0</v>
      </c>
      <c r="P128" s="13">
        <f t="shared" si="19"/>
        <v>6.1818181818181817</v>
      </c>
      <c r="R128">
        <v>5</v>
      </c>
      <c r="S128">
        <v>9</v>
      </c>
      <c r="T128">
        <v>5</v>
      </c>
      <c r="U128">
        <v>6</v>
      </c>
      <c r="V128">
        <v>4</v>
      </c>
      <c r="W128">
        <v>6</v>
      </c>
      <c r="X128">
        <v>4</v>
      </c>
      <c r="Y128">
        <v>7</v>
      </c>
      <c r="Z128">
        <v>10</v>
      </c>
      <c r="AA128">
        <v>6</v>
      </c>
    </row>
    <row r="129" spans="1:27" x14ac:dyDescent="0.25">
      <c r="A129">
        <f t="shared" si="22"/>
        <v>127</v>
      </c>
      <c r="B129" t="str">
        <f t="shared" si="20"/>
        <v>1e1</v>
      </c>
      <c r="D129" s="10">
        <v>6</v>
      </c>
      <c r="E129">
        <f t="shared" si="16"/>
        <v>126</v>
      </c>
      <c r="F129">
        <f t="shared" si="15"/>
        <v>5</v>
      </c>
      <c r="G129" s="1" t="str">
        <f t="shared" si="17"/>
        <v>1.5</v>
      </c>
      <c r="H129" s="1">
        <f t="shared" si="23"/>
        <v>3</v>
      </c>
      <c r="I129" t="str">
        <f t="shared" si="25"/>
        <v>1.5.1</v>
      </c>
      <c r="J129" t="s">
        <v>41</v>
      </c>
      <c r="L129" s="1">
        <f t="shared" si="24"/>
        <v>6</v>
      </c>
      <c r="M129" s="1" t="str">
        <f t="shared" si="18"/>
        <v>1.5</v>
      </c>
      <c r="N129">
        <f t="shared" si="21"/>
        <v>0</v>
      </c>
      <c r="P129" s="13">
        <f t="shared" si="19"/>
        <v>5.6363636363636367</v>
      </c>
      <c r="R129">
        <v>4</v>
      </c>
      <c r="S129">
        <v>8</v>
      </c>
      <c r="T129">
        <v>2</v>
      </c>
      <c r="U129">
        <v>6</v>
      </c>
      <c r="V129">
        <v>9</v>
      </c>
      <c r="W129">
        <v>6</v>
      </c>
      <c r="X129">
        <v>7</v>
      </c>
      <c r="Y129">
        <v>6</v>
      </c>
      <c r="Z129">
        <v>4</v>
      </c>
      <c r="AA129">
        <v>4</v>
      </c>
    </row>
    <row r="130" spans="1:27" x14ac:dyDescent="0.25">
      <c r="A130">
        <f t="shared" si="22"/>
        <v>128</v>
      </c>
      <c r="B130" t="str">
        <f t="shared" si="20"/>
        <v>1e2</v>
      </c>
      <c r="D130" s="10">
        <v>8</v>
      </c>
      <c r="E130">
        <f t="shared" si="16"/>
        <v>126</v>
      </c>
      <c r="F130">
        <f t="shared" ref="F130:F193" si="26">LEN(I130)</f>
        <v>5</v>
      </c>
      <c r="G130" s="1" t="str">
        <f t="shared" si="17"/>
        <v>1.5</v>
      </c>
      <c r="H130" s="1">
        <f t="shared" si="23"/>
        <v>3</v>
      </c>
      <c r="I130" t="str">
        <f t="shared" si="25"/>
        <v>1.5.2</v>
      </c>
      <c r="J130" t="s">
        <v>42</v>
      </c>
      <c r="L130" s="1">
        <f t="shared" si="24"/>
        <v>6</v>
      </c>
      <c r="M130" s="1" t="str">
        <f t="shared" si="18"/>
        <v>1.5</v>
      </c>
      <c r="N130">
        <f t="shared" si="21"/>
        <v>0</v>
      </c>
      <c r="P130" s="13">
        <f t="shared" si="19"/>
        <v>7.6363636363636367</v>
      </c>
      <c r="R130">
        <v>9</v>
      </c>
      <c r="S130">
        <v>9</v>
      </c>
      <c r="T130">
        <v>9</v>
      </c>
      <c r="U130">
        <v>8</v>
      </c>
      <c r="V130">
        <v>5</v>
      </c>
      <c r="W130">
        <v>8</v>
      </c>
      <c r="X130">
        <v>10</v>
      </c>
      <c r="Y130">
        <v>8</v>
      </c>
      <c r="Z130">
        <v>1</v>
      </c>
      <c r="AA130">
        <v>9</v>
      </c>
    </row>
    <row r="131" spans="1:27" x14ac:dyDescent="0.25">
      <c r="A131">
        <f t="shared" si="22"/>
        <v>129</v>
      </c>
      <c r="B131" t="str">
        <f t="shared" si="20"/>
        <v>1e3</v>
      </c>
      <c r="D131" s="10">
        <v>9</v>
      </c>
      <c r="E131">
        <f t="shared" ref="E131:E194" si="27">MATCH(G131,I$2:I$306,0)-1</f>
        <v>126</v>
      </c>
      <c r="F131">
        <f t="shared" si="26"/>
        <v>5</v>
      </c>
      <c r="G131" s="1" t="str">
        <f t="shared" ref="G131:G194" si="28">IFERROR(LEFT(I131,LEN(I131)-2-N131),0)</f>
        <v>1.5</v>
      </c>
      <c r="H131" s="1">
        <f t="shared" si="23"/>
        <v>3</v>
      </c>
      <c r="I131" t="str">
        <f t="shared" si="25"/>
        <v>1.5.3</v>
      </c>
      <c r="J131" t="s">
        <v>43</v>
      </c>
      <c r="L131" s="1">
        <f t="shared" si="24"/>
        <v>6</v>
      </c>
      <c r="M131" s="1" t="str">
        <f t="shared" ref="M131:M194" si="29">IFERROR(LEFT(I131,LEN(I131)-2),0)</f>
        <v>1.5</v>
      </c>
      <c r="N131">
        <f t="shared" si="21"/>
        <v>0</v>
      </c>
      <c r="P131" s="13">
        <f t="shared" si="19"/>
        <v>9.1818181818181817</v>
      </c>
      <c r="R131">
        <v>10</v>
      </c>
      <c r="S131">
        <v>10</v>
      </c>
      <c r="T131">
        <v>7</v>
      </c>
      <c r="U131">
        <v>10</v>
      </c>
      <c r="V131">
        <v>7</v>
      </c>
      <c r="W131">
        <v>10</v>
      </c>
      <c r="X131">
        <v>10</v>
      </c>
      <c r="Y131">
        <v>9</v>
      </c>
      <c r="Z131">
        <v>10</v>
      </c>
      <c r="AA131">
        <v>9</v>
      </c>
    </row>
    <row r="132" spans="1:27" x14ac:dyDescent="0.25">
      <c r="A132">
        <f t="shared" si="22"/>
        <v>130</v>
      </c>
      <c r="B132" t="str">
        <f t="shared" si="20"/>
        <v>1f</v>
      </c>
      <c r="D132" s="9">
        <v>5</v>
      </c>
      <c r="E132">
        <f t="shared" si="27"/>
        <v>1</v>
      </c>
      <c r="F132">
        <f t="shared" si="26"/>
        <v>3</v>
      </c>
      <c r="G132" s="1" t="str">
        <f t="shared" si="28"/>
        <v>1</v>
      </c>
      <c r="H132" s="1">
        <f t="shared" si="23"/>
        <v>2</v>
      </c>
      <c r="I132" t="str">
        <f t="shared" si="25"/>
        <v>1.6</v>
      </c>
      <c r="J132" t="s">
        <v>44</v>
      </c>
      <c r="L132" s="1">
        <f t="shared" si="24"/>
        <v>4</v>
      </c>
      <c r="M132" s="1" t="str">
        <f t="shared" si="29"/>
        <v>1</v>
      </c>
      <c r="N132">
        <f t="shared" si="21"/>
        <v>0</v>
      </c>
      <c r="P132" s="13">
        <f t="shared" ref="P132:P195" si="30">AVERAGE(D132,R132:AA132)</f>
        <v>3.6363636363636362</v>
      </c>
      <c r="R132">
        <v>3</v>
      </c>
      <c r="S132">
        <v>4</v>
      </c>
      <c r="T132">
        <v>1</v>
      </c>
      <c r="U132">
        <v>6</v>
      </c>
      <c r="V132">
        <v>1</v>
      </c>
      <c r="W132">
        <v>4</v>
      </c>
      <c r="X132">
        <v>5</v>
      </c>
      <c r="Y132">
        <v>4</v>
      </c>
      <c r="Z132">
        <v>4</v>
      </c>
      <c r="AA132">
        <v>3</v>
      </c>
    </row>
    <row r="133" spans="1:27" x14ac:dyDescent="0.25">
      <c r="A133">
        <f t="shared" si="22"/>
        <v>131</v>
      </c>
      <c r="B133" t="str">
        <f t="shared" si="20"/>
        <v>1f1</v>
      </c>
      <c r="D133" s="10">
        <v>6</v>
      </c>
      <c r="E133">
        <f t="shared" si="27"/>
        <v>130</v>
      </c>
      <c r="F133">
        <f t="shared" si="26"/>
        <v>5</v>
      </c>
      <c r="G133" s="1" t="str">
        <f t="shared" si="28"/>
        <v>1.6</v>
      </c>
      <c r="H133" s="1">
        <f t="shared" si="23"/>
        <v>3</v>
      </c>
      <c r="I133" t="str">
        <f t="shared" si="25"/>
        <v>1.6.1</v>
      </c>
      <c r="J133" t="s">
        <v>45</v>
      </c>
      <c r="L133" s="1">
        <f t="shared" si="24"/>
        <v>6</v>
      </c>
      <c r="M133" s="1" t="str">
        <f t="shared" si="29"/>
        <v>1.6</v>
      </c>
      <c r="N133">
        <f t="shared" si="21"/>
        <v>0</v>
      </c>
      <c r="P133" s="13">
        <f t="shared" si="30"/>
        <v>4.8181818181818183</v>
      </c>
      <c r="R133">
        <v>8</v>
      </c>
      <c r="S133">
        <v>5</v>
      </c>
      <c r="T133">
        <v>5</v>
      </c>
      <c r="U133">
        <v>5</v>
      </c>
      <c r="V133">
        <v>1</v>
      </c>
      <c r="W133">
        <v>6</v>
      </c>
      <c r="X133">
        <v>6</v>
      </c>
      <c r="Y133">
        <v>4</v>
      </c>
      <c r="Z133">
        <v>2</v>
      </c>
      <c r="AA133">
        <v>5</v>
      </c>
    </row>
    <row r="134" spans="1:27" x14ac:dyDescent="0.25">
      <c r="A134">
        <f t="shared" si="22"/>
        <v>132</v>
      </c>
      <c r="B134" t="str">
        <f t="shared" ref="B134:B197" si="31">Метка(I134)</f>
        <v>1f2</v>
      </c>
      <c r="D134" s="10">
        <v>7</v>
      </c>
      <c r="E134">
        <f t="shared" si="27"/>
        <v>130</v>
      </c>
      <c r="F134">
        <f t="shared" si="26"/>
        <v>5</v>
      </c>
      <c r="G134" s="1" t="str">
        <f t="shared" si="28"/>
        <v>1.6</v>
      </c>
      <c r="H134" s="1">
        <f t="shared" si="23"/>
        <v>3</v>
      </c>
      <c r="I134" t="str">
        <f t="shared" si="25"/>
        <v>1.6.2</v>
      </c>
      <c r="J134" t="s">
        <v>192</v>
      </c>
      <c r="L134" s="1">
        <f t="shared" si="24"/>
        <v>6</v>
      </c>
      <c r="M134" s="1" t="str">
        <f t="shared" si="29"/>
        <v>1.6</v>
      </c>
      <c r="N134">
        <f t="shared" si="21"/>
        <v>0</v>
      </c>
      <c r="P134" s="13">
        <f t="shared" si="30"/>
        <v>6.9090909090909092</v>
      </c>
      <c r="R134">
        <v>7</v>
      </c>
      <c r="S134">
        <v>6</v>
      </c>
      <c r="T134">
        <v>7</v>
      </c>
      <c r="U134">
        <v>8</v>
      </c>
      <c r="V134">
        <v>6</v>
      </c>
      <c r="W134">
        <v>7</v>
      </c>
      <c r="X134">
        <v>6</v>
      </c>
      <c r="Y134">
        <v>6</v>
      </c>
      <c r="Z134">
        <v>10</v>
      </c>
      <c r="AA134">
        <v>6</v>
      </c>
    </row>
    <row r="135" spans="1:27" x14ac:dyDescent="0.25">
      <c r="A135">
        <f t="shared" si="22"/>
        <v>133</v>
      </c>
      <c r="B135" t="str">
        <f t="shared" si="31"/>
        <v>1f3</v>
      </c>
      <c r="D135" s="10">
        <v>7</v>
      </c>
      <c r="E135">
        <f t="shared" si="27"/>
        <v>130</v>
      </c>
      <c r="F135">
        <f t="shared" si="26"/>
        <v>5</v>
      </c>
      <c r="G135" s="1" t="str">
        <f t="shared" si="28"/>
        <v>1.6</v>
      </c>
      <c r="H135" s="1">
        <f t="shared" si="23"/>
        <v>3</v>
      </c>
      <c r="I135" t="str">
        <f t="shared" si="25"/>
        <v>1.6.3</v>
      </c>
      <c r="J135" t="s">
        <v>46</v>
      </c>
      <c r="L135" s="1">
        <f t="shared" si="24"/>
        <v>6</v>
      </c>
      <c r="M135" s="1" t="str">
        <f t="shared" si="29"/>
        <v>1.6</v>
      </c>
      <c r="N135">
        <f t="shared" si="21"/>
        <v>0</v>
      </c>
      <c r="P135" s="13">
        <f t="shared" si="30"/>
        <v>7.7272727272727275</v>
      </c>
      <c r="R135">
        <v>7</v>
      </c>
      <c r="S135">
        <v>8</v>
      </c>
      <c r="T135">
        <v>9</v>
      </c>
      <c r="U135">
        <v>7</v>
      </c>
      <c r="V135">
        <v>8</v>
      </c>
      <c r="W135">
        <v>8</v>
      </c>
      <c r="X135">
        <v>9</v>
      </c>
      <c r="Y135">
        <v>6</v>
      </c>
      <c r="Z135">
        <v>9</v>
      </c>
      <c r="AA135">
        <v>7</v>
      </c>
    </row>
    <row r="136" spans="1:27" x14ac:dyDescent="0.25">
      <c r="A136">
        <f t="shared" si="22"/>
        <v>134</v>
      </c>
      <c r="B136" t="str">
        <f t="shared" si="31"/>
        <v>2</v>
      </c>
      <c r="D136" s="8">
        <v>8</v>
      </c>
      <c r="E136">
        <f t="shared" si="27"/>
        <v>0</v>
      </c>
      <c r="F136">
        <f t="shared" si="26"/>
        <v>1</v>
      </c>
      <c r="G136" s="1">
        <f t="shared" si="28"/>
        <v>0</v>
      </c>
      <c r="H136" s="1">
        <f t="shared" si="23"/>
        <v>1</v>
      </c>
      <c r="I136" t="str">
        <f t="shared" si="25"/>
        <v>2</v>
      </c>
      <c r="J136" t="s">
        <v>313</v>
      </c>
      <c r="L136" s="1">
        <f t="shared" si="24"/>
        <v>2</v>
      </c>
      <c r="M136" s="1">
        <f t="shared" si="29"/>
        <v>0</v>
      </c>
      <c r="N136">
        <f t="shared" ref="N136:N199" si="32">IF(RIGHT(M136)=".",1,0)</f>
        <v>0</v>
      </c>
      <c r="P136" s="13">
        <f t="shared" si="30"/>
        <v>8</v>
      </c>
      <c r="R136">
        <v>9</v>
      </c>
      <c r="S136">
        <v>9</v>
      </c>
      <c r="T136">
        <v>10</v>
      </c>
      <c r="U136">
        <v>9</v>
      </c>
      <c r="V136">
        <v>6</v>
      </c>
      <c r="W136">
        <v>8</v>
      </c>
      <c r="X136">
        <v>8</v>
      </c>
      <c r="Y136">
        <v>8</v>
      </c>
      <c r="Z136">
        <v>6</v>
      </c>
      <c r="AA136">
        <v>7</v>
      </c>
    </row>
    <row r="137" spans="1:27" x14ac:dyDescent="0.25">
      <c r="A137">
        <f t="shared" si="22"/>
        <v>135</v>
      </c>
      <c r="B137" t="str">
        <f t="shared" si="31"/>
        <v>2a</v>
      </c>
      <c r="D137" s="9">
        <v>9</v>
      </c>
      <c r="E137">
        <f t="shared" si="27"/>
        <v>134</v>
      </c>
      <c r="F137">
        <f t="shared" si="26"/>
        <v>3</v>
      </c>
      <c r="G137" s="1" t="str">
        <f t="shared" si="28"/>
        <v>2</v>
      </c>
      <c r="H137" s="1">
        <f t="shared" si="23"/>
        <v>2</v>
      </c>
      <c r="I137" t="str">
        <f t="shared" si="25"/>
        <v>2.1</v>
      </c>
      <c r="J137" t="s">
        <v>47</v>
      </c>
      <c r="L137" s="1">
        <f t="shared" si="24"/>
        <v>4</v>
      </c>
      <c r="M137" s="1" t="str">
        <f t="shared" si="29"/>
        <v>2</v>
      </c>
      <c r="N137">
        <f t="shared" si="32"/>
        <v>0</v>
      </c>
      <c r="P137" s="13">
        <f t="shared" si="30"/>
        <v>8.6363636363636367</v>
      </c>
      <c r="R137">
        <v>9</v>
      </c>
      <c r="S137">
        <v>10</v>
      </c>
      <c r="T137">
        <v>6</v>
      </c>
      <c r="U137">
        <v>10</v>
      </c>
      <c r="V137">
        <v>10</v>
      </c>
      <c r="W137">
        <v>9</v>
      </c>
      <c r="X137">
        <v>10</v>
      </c>
      <c r="Y137">
        <v>9</v>
      </c>
      <c r="Z137">
        <v>5</v>
      </c>
      <c r="AA137">
        <v>8</v>
      </c>
    </row>
    <row r="138" spans="1:27" x14ac:dyDescent="0.25">
      <c r="A138">
        <f t="shared" si="22"/>
        <v>136</v>
      </c>
      <c r="B138" t="str">
        <f t="shared" si="31"/>
        <v>2a1</v>
      </c>
      <c r="D138" s="10">
        <v>8</v>
      </c>
      <c r="E138">
        <f t="shared" si="27"/>
        <v>135</v>
      </c>
      <c r="F138">
        <f t="shared" si="26"/>
        <v>5</v>
      </c>
      <c r="G138" s="1" t="str">
        <f t="shared" si="28"/>
        <v>2.1</v>
      </c>
      <c r="H138" s="1">
        <f t="shared" si="23"/>
        <v>3</v>
      </c>
      <c r="I138" t="str">
        <f t="shared" si="25"/>
        <v>2.1.1</v>
      </c>
      <c r="J138" t="s">
        <v>193</v>
      </c>
      <c r="L138" s="1">
        <f t="shared" si="24"/>
        <v>6</v>
      </c>
      <c r="M138" s="1" t="str">
        <f t="shared" si="29"/>
        <v>2.1</v>
      </c>
      <c r="N138">
        <f t="shared" si="32"/>
        <v>0</v>
      </c>
      <c r="P138" s="13">
        <f t="shared" si="30"/>
        <v>7.8181818181818183</v>
      </c>
      <c r="R138">
        <v>9</v>
      </c>
      <c r="S138">
        <v>8</v>
      </c>
      <c r="T138">
        <v>7</v>
      </c>
      <c r="U138">
        <v>7</v>
      </c>
      <c r="V138">
        <v>7</v>
      </c>
      <c r="W138">
        <v>8</v>
      </c>
      <c r="X138">
        <v>7</v>
      </c>
      <c r="Y138">
        <v>8</v>
      </c>
      <c r="Z138">
        <v>9</v>
      </c>
      <c r="AA138">
        <v>8</v>
      </c>
    </row>
    <row r="139" spans="1:27" x14ac:dyDescent="0.25">
      <c r="A139">
        <f t="shared" si="22"/>
        <v>137</v>
      </c>
      <c r="B139" t="str">
        <f t="shared" si="31"/>
        <v>2a1a</v>
      </c>
      <c r="D139" s="3">
        <v>8</v>
      </c>
      <c r="E139">
        <f t="shared" si="27"/>
        <v>136</v>
      </c>
      <c r="F139">
        <f t="shared" si="26"/>
        <v>7</v>
      </c>
      <c r="G139" s="1" t="str">
        <f t="shared" si="28"/>
        <v>2.1.1</v>
      </c>
      <c r="H139" s="1">
        <f t="shared" si="23"/>
        <v>4</v>
      </c>
      <c r="I139" t="str">
        <f t="shared" si="25"/>
        <v>2.1.1.1</v>
      </c>
      <c r="J139" t="s">
        <v>194</v>
      </c>
      <c r="L139" s="1">
        <f t="shared" si="24"/>
        <v>8</v>
      </c>
      <c r="M139" s="1" t="str">
        <f t="shared" si="29"/>
        <v>2.1.1</v>
      </c>
      <c r="N139">
        <f t="shared" si="32"/>
        <v>0</v>
      </c>
      <c r="P139" s="13">
        <f t="shared" si="30"/>
        <v>7</v>
      </c>
      <c r="R139">
        <v>8</v>
      </c>
      <c r="S139">
        <v>7</v>
      </c>
      <c r="T139">
        <v>5</v>
      </c>
      <c r="U139">
        <v>7</v>
      </c>
      <c r="V139">
        <v>3</v>
      </c>
      <c r="W139">
        <v>9</v>
      </c>
      <c r="X139">
        <v>9</v>
      </c>
      <c r="Y139">
        <v>6</v>
      </c>
      <c r="Z139">
        <v>5</v>
      </c>
      <c r="AA139">
        <v>10</v>
      </c>
    </row>
    <row r="140" spans="1:27" x14ac:dyDescent="0.25">
      <c r="A140">
        <f t="shared" si="22"/>
        <v>138</v>
      </c>
      <c r="B140" t="str">
        <f t="shared" si="31"/>
        <v>2a1b</v>
      </c>
      <c r="D140" s="3">
        <v>9</v>
      </c>
      <c r="E140">
        <f t="shared" si="27"/>
        <v>136</v>
      </c>
      <c r="F140">
        <f t="shared" si="26"/>
        <v>7</v>
      </c>
      <c r="G140" s="1" t="str">
        <f t="shared" si="28"/>
        <v>2.1.1</v>
      </c>
      <c r="H140" s="1">
        <f t="shared" si="23"/>
        <v>4</v>
      </c>
      <c r="I140" t="str">
        <f t="shared" si="25"/>
        <v>2.1.1.2</v>
      </c>
      <c r="J140" t="s">
        <v>195</v>
      </c>
      <c r="L140" s="1">
        <f t="shared" si="24"/>
        <v>8</v>
      </c>
      <c r="M140" s="1" t="str">
        <f t="shared" si="29"/>
        <v>2.1.1</v>
      </c>
      <c r="N140">
        <f t="shared" si="32"/>
        <v>0</v>
      </c>
      <c r="P140" s="13">
        <f t="shared" si="30"/>
        <v>9</v>
      </c>
      <c r="R140">
        <v>10</v>
      </c>
      <c r="S140">
        <v>9</v>
      </c>
      <c r="T140">
        <v>8</v>
      </c>
      <c r="U140">
        <v>9</v>
      </c>
      <c r="V140">
        <v>10</v>
      </c>
      <c r="W140">
        <v>8</v>
      </c>
      <c r="X140">
        <v>8</v>
      </c>
      <c r="Y140">
        <v>8</v>
      </c>
      <c r="Z140">
        <v>10</v>
      </c>
      <c r="AA140">
        <v>10</v>
      </c>
    </row>
    <row r="141" spans="1:27" x14ac:dyDescent="0.25">
      <c r="A141">
        <f t="shared" si="22"/>
        <v>139</v>
      </c>
      <c r="B141" t="str">
        <f t="shared" si="31"/>
        <v>2a1c</v>
      </c>
      <c r="D141" s="3">
        <v>7</v>
      </c>
      <c r="E141">
        <f t="shared" si="27"/>
        <v>136</v>
      </c>
      <c r="F141">
        <f t="shared" si="26"/>
        <v>7</v>
      </c>
      <c r="G141" s="1" t="str">
        <f t="shared" si="28"/>
        <v>2.1.1</v>
      </c>
      <c r="H141" s="1">
        <f t="shared" si="23"/>
        <v>4</v>
      </c>
      <c r="I141" t="str">
        <f t="shared" si="25"/>
        <v>2.1.1.3</v>
      </c>
      <c r="J141" t="s">
        <v>196</v>
      </c>
      <c r="L141" s="1">
        <f t="shared" si="24"/>
        <v>8</v>
      </c>
      <c r="M141" s="1" t="str">
        <f t="shared" si="29"/>
        <v>2.1.1</v>
      </c>
      <c r="N141">
        <f t="shared" si="32"/>
        <v>0</v>
      </c>
      <c r="P141" s="13">
        <f t="shared" si="30"/>
        <v>6.2727272727272725</v>
      </c>
      <c r="R141">
        <v>6</v>
      </c>
      <c r="S141">
        <v>4</v>
      </c>
      <c r="T141">
        <v>3</v>
      </c>
      <c r="U141">
        <v>7</v>
      </c>
      <c r="V141">
        <v>5</v>
      </c>
      <c r="W141">
        <v>7</v>
      </c>
      <c r="X141">
        <v>8</v>
      </c>
      <c r="Y141">
        <v>5</v>
      </c>
      <c r="Z141">
        <v>10</v>
      </c>
      <c r="AA141">
        <v>7</v>
      </c>
    </row>
    <row r="142" spans="1:27" x14ac:dyDescent="0.25">
      <c r="A142">
        <f t="shared" si="22"/>
        <v>140</v>
      </c>
      <c r="B142" t="str">
        <f t="shared" si="31"/>
        <v>2a1d</v>
      </c>
      <c r="D142" s="3">
        <v>8</v>
      </c>
      <c r="E142">
        <f t="shared" si="27"/>
        <v>136</v>
      </c>
      <c r="F142">
        <f t="shared" si="26"/>
        <v>7</v>
      </c>
      <c r="G142" s="1" t="str">
        <f t="shared" si="28"/>
        <v>2.1.1</v>
      </c>
      <c r="H142" s="1">
        <f t="shared" si="23"/>
        <v>4</v>
      </c>
      <c r="I142" t="str">
        <f t="shared" si="25"/>
        <v>2.1.1.4</v>
      </c>
      <c r="J142" t="s">
        <v>197</v>
      </c>
      <c r="L142" s="1">
        <f t="shared" si="24"/>
        <v>8</v>
      </c>
      <c r="M142" s="1" t="str">
        <f t="shared" si="29"/>
        <v>2.1.1</v>
      </c>
      <c r="N142">
        <f t="shared" si="32"/>
        <v>0</v>
      </c>
      <c r="P142" s="13">
        <f t="shared" si="30"/>
        <v>8.454545454545455</v>
      </c>
      <c r="R142">
        <v>8</v>
      </c>
      <c r="S142">
        <v>9</v>
      </c>
      <c r="T142">
        <v>7</v>
      </c>
      <c r="U142">
        <v>7</v>
      </c>
      <c r="V142">
        <v>10</v>
      </c>
      <c r="W142">
        <v>9</v>
      </c>
      <c r="X142">
        <v>8</v>
      </c>
      <c r="Y142">
        <v>10</v>
      </c>
      <c r="Z142">
        <v>10</v>
      </c>
      <c r="AA142">
        <v>7</v>
      </c>
    </row>
    <row r="143" spans="1:27" x14ac:dyDescent="0.25">
      <c r="A143">
        <f t="shared" si="22"/>
        <v>141</v>
      </c>
      <c r="B143" t="str">
        <f t="shared" si="31"/>
        <v>2a2</v>
      </c>
      <c r="D143" s="10">
        <v>9</v>
      </c>
      <c r="E143">
        <f t="shared" si="27"/>
        <v>135</v>
      </c>
      <c r="F143">
        <f t="shared" si="26"/>
        <v>5</v>
      </c>
      <c r="G143" s="1" t="str">
        <f t="shared" si="28"/>
        <v>2.1</v>
      </c>
      <c r="H143" s="1">
        <f t="shared" si="23"/>
        <v>3</v>
      </c>
      <c r="I143" t="str">
        <f t="shared" si="25"/>
        <v>2.1.2</v>
      </c>
      <c r="J143" t="s">
        <v>198</v>
      </c>
      <c r="L143" s="1">
        <f t="shared" si="24"/>
        <v>6</v>
      </c>
      <c r="M143" s="1" t="str">
        <f t="shared" si="29"/>
        <v>2.1</v>
      </c>
      <c r="N143">
        <f t="shared" si="32"/>
        <v>0</v>
      </c>
      <c r="P143" s="13">
        <f t="shared" si="30"/>
        <v>9.1818181818181817</v>
      </c>
      <c r="R143">
        <v>9</v>
      </c>
      <c r="S143">
        <v>8</v>
      </c>
      <c r="T143">
        <v>10</v>
      </c>
      <c r="U143">
        <v>10</v>
      </c>
      <c r="V143">
        <v>10</v>
      </c>
      <c r="W143">
        <v>10</v>
      </c>
      <c r="X143">
        <v>8</v>
      </c>
      <c r="Y143">
        <v>8</v>
      </c>
      <c r="Z143">
        <v>10</v>
      </c>
      <c r="AA143">
        <v>9</v>
      </c>
    </row>
    <row r="144" spans="1:27" x14ac:dyDescent="0.25">
      <c r="A144">
        <f t="shared" si="22"/>
        <v>142</v>
      </c>
      <c r="B144" t="str">
        <f t="shared" si="31"/>
        <v>2a2a</v>
      </c>
      <c r="D144" s="3">
        <v>9</v>
      </c>
      <c r="E144">
        <f t="shared" si="27"/>
        <v>141</v>
      </c>
      <c r="F144">
        <f t="shared" si="26"/>
        <v>7</v>
      </c>
      <c r="G144" s="1" t="str">
        <f t="shared" si="28"/>
        <v>2.1.2</v>
      </c>
      <c r="H144" s="1">
        <f t="shared" si="23"/>
        <v>4</v>
      </c>
      <c r="I144" t="str">
        <f t="shared" si="25"/>
        <v>2.1.2.1</v>
      </c>
      <c r="J144" t="s">
        <v>199</v>
      </c>
      <c r="L144" s="1">
        <f t="shared" si="24"/>
        <v>8</v>
      </c>
      <c r="M144" s="1" t="str">
        <f t="shared" si="29"/>
        <v>2.1.2</v>
      </c>
      <c r="N144">
        <f t="shared" si="32"/>
        <v>0</v>
      </c>
      <c r="P144" s="13">
        <f t="shared" si="30"/>
        <v>8.9090909090909083</v>
      </c>
      <c r="R144">
        <v>9</v>
      </c>
      <c r="S144">
        <v>10</v>
      </c>
      <c r="T144">
        <v>10</v>
      </c>
      <c r="U144">
        <v>10</v>
      </c>
      <c r="V144">
        <v>7</v>
      </c>
      <c r="W144">
        <v>10</v>
      </c>
      <c r="X144">
        <v>10</v>
      </c>
      <c r="Y144">
        <v>8</v>
      </c>
      <c r="Z144">
        <v>5</v>
      </c>
      <c r="AA144">
        <v>10</v>
      </c>
    </row>
    <row r="145" spans="1:27" x14ac:dyDescent="0.25">
      <c r="A145">
        <f t="shared" si="22"/>
        <v>143</v>
      </c>
      <c r="B145" t="str">
        <f t="shared" si="31"/>
        <v>2a2b</v>
      </c>
      <c r="D145" s="3">
        <v>9</v>
      </c>
      <c r="E145">
        <f t="shared" si="27"/>
        <v>141</v>
      </c>
      <c r="F145">
        <f t="shared" si="26"/>
        <v>7</v>
      </c>
      <c r="G145" s="1" t="str">
        <f t="shared" si="28"/>
        <v>2.1.2</v>
      </c>
      <c r="H145" s="1">
        <f t="shared" si="23"/>
        <v>4</v>
      </c>
      <c r="I145" t="str">
        <f t="shared" si="25"/>
        <v>2.1.2.2</v>
      </c>
      <c r="J145" t="s">
        <v>200</v>
      </c>
      <c r="L145" s="1">
        <f t="shared" si="24"/>
        <v>8</v>
      </c>
      <c r="M145" s="1" t="str">
        <f t="shared" si="29"/>
        <v>2.1.2</v>
      </c>
      <c r="N145">
        <f t="shared" si="32"/>
        <v>0</v>
      </c>
      <c r="P145" s="13">
        <f t="shared" si="30"/>
        <v>7.9090909090909092</v>
      </c>
      <c r="R145">
        <v>8</v>
      </c>
      <c r="S145">
        <v>9</v>
      </c>
      <c r="T145">
        <v>7</v>
      </c>
      <c r="U145">
        <v>10</v>
      </c>
      <c r="V145">
        <v>3</v>
      </c>
      <c r="W145">
        <v>10</v>
      </c>
      <c r="X145">
        <v>8</v>
      </c>
      <c r="Y145">
        <v>9</v>
      </c>
      <c r="Z145">
        <v>4</v>
      </c>
      <c r="AA145">
        <v>10</v>
      </c>
    </row>
    <row r="146" spans="1:27" x14ac:dyDescent="0.25">
      <c r="A146">
        <f t="shared" si="22"/>
        <v>144</v>
      </c>
      <c r="B146" t="str">
        <f t="shared" si="31"/>
        <v>2a2c</v>
      </c>
      <c r="D146" s="3">
        <v>8</v>
      </c>
      <c r="E146">
        <f t="shared" si="27"/>
        <v>141</v>
      </c>
      <c r="F146">
        <f t="shared" si="26"/>
        <v>7</v>
      </c>
      <c r="G146" s="1" t="str">
        <f t="shared" si="28"/>
        <v>2.1.2</v>
      </c>
      <c r="H146" s="1">
        <f t="shared" si="23"/>
        <v>4</v>
      </c>
      <c r="I146" t="str">
        <f t="shared" si="25"/>
        <v>2.1.2.3</v>
      </c>
      <c r="J146" t="s">
        <v>201</v>
      </c>
      <c r="L146" s="1">
        <f t="shared" si="24"/>
        <v>8</v>
      </c>
      <c r="M146" s="1" t="str">
        <f t="shared" si="29"/>
        <v>2.1.2</v>
      </c>
      <c r="N146">
        <f t="shared" si="32"/>
        <v>0</v>
      </c>
      <c r="P146" s="13">
        <f t="shared" si="30"/>
        <v>7.5454545454545459</v>
      </c>
      <c r="R146">
        <v>8</v>
      </c>
      <c r="S146">
        <v>8</v>
      </c>
      <c r="T146">
        <v>6</v>
      </c>
      <c r="U146">
        <v>7</v>
      </c>
      <c r="V146">
        <v>9</v>
      </c>
      <c r="W146">
        <v>7</v>
      </c>
      <c r="X146">
        <v>8</v>
      </c>
      <c r="Y146">
        <v>8</v>
      </c>
      <c r="Z146">
        <v>4</v>
      </c>
      <c r="AA146">
        <v>10</v>
      </c>
    </row>
    <row r="147" spans="1:27" x14ac:dyDescent="0.25">
      <c r="A147">
        <f t="shared" ref="A147:A210" si="33">A146+1</f>
        <v>145</v>
      </c>
      <c r="B147" t="str">
        <f t="shared" si="31"/>
        <v>2a3</v>
      </c>
      <c r="D147" s="10">
        <v>9</v>
      </c>
      <c r="E147">
        <f t="shared" si="27"/>
        <v>135</v>
      </c>
      <c r="F147">
        <f t="shared" si="26"/>
        <v>5</v>
      </c>
      <c r="G147" s="1" t="str">
        <f t="shared" si="28"/>
        <v>2.1</v>
      </c>
      <c r="H147" s="1">
        <f t="shared" ref="H147:H210" si="34">ROUNDUP(F147/2,0)</f>
        <v>3</v>
      </c>
      <c r="I147" t="str">
        <f t="shared" si="25"/>
        <v>2.1.3</v>
      </c>
      <c r="J147" t="s">
        <v>202</v>
      </c>
      <c r="L147" s="1">
        <f t="shared" ref="L147:L210" si="35">IFERROR(SEARCH(L$2,J147),SEARCH(". ",J147))</f>
        <v>6</v>
      </c>
      <c r="M147" s="1" t="str">
        <f t="shared" si="29"/>
        <v>2.1</v>
      </c>
      <c r="N147">
        <f t="shared" si="32"/>
        <v>0</v>
      </c>
      <c r="P147" s="13">
        <f t="shared" si="30"/>
        <v>8.9090909090909083</v>
      </c>
      <c r="R147">
        <v>9</v>
      </c>
      <c r="S147">
        <v>9</v>
      </c>
      <c r="T147">
        <v>9</v>
      </c>
      <c r="U147">
        <v>9</v>
      </c>
      <c r="V147">
        <v>8</v>
      </c>
      <c r="W147">
        <v>9</v>
      </c>
      <c r="X147">
        <v>10</v>
      </c>
      <c r="Y147">
        <v>9</v>
      </c>
      <c r="Z147">
        <v>9</v>
      </c>
      <c r="AA147">
        <v>8</v>
      </c>
    </row>
    <row r="148" spans="1:27" x14ac:dyDescent="0.25">
      <c r="A148">
        <f t="shared" si="33"/>
        <v>146</v>
      </c>
      <c r="B148" t="str">
        <f t="shared" si="31"/>
        <v>2a3a</v>
      </c>
      <c r="D148" s="3">
        <v>8</v>
      </c>
      <c r="E148">
        <f t="shared" si="27"/>
        <v>145</v>
      </c>
      <c r="F148">
        <f t="shared" si="26"/>
        <v>7</v>
      </c>
      <c r="G148" s="1" t="str">
        <f t="shared" si="28"/>
        <v>2.1.3</v>
      </c>
      <c r="H148" s="1">
        <f t="shared" si="34"/>
        <v>4</v>
      </c>
      <c r="I148" t="str">
        <f t="shared" ref="I148:I211" si="36">LEFT(J148,L148-1)</f>
        <v>2.1.3.1</v>
      </c>
      <c r="J148" t="s">
        <v>203</v>
      </c>
      <c r="L148" s="1">
        <f t="shared" si="35"/>
        <v>8</v>
      </c>
      <c r="M148" s="1" t="str">
        <f t="shared" si="29"/>
        <v>2.1.3</v>
      </c>
      <c r="N148">
        <f t="shared" si="32"/>
        <v>0</v>
      </c>
      <c r="P148" s="13">
        <f t="shared" si="30"/>
        <v>7.1818181818181817</v>
      </c>
      <c r="R148">
        <v>8</v>
      </c>
      <c r="S148">
        <v>7</v>
      </c>
      <c r="T148">
        <v>5</v>
      </c>
      <c r="U148">
        <v>8</v>
      </c>
      <c r="V148">
        <v>7</v>
      </c>
      <c r="W148">
        <v>8</v>
      </c>
      <c r="X148">
        <v>8</v>
      </c>
      <c r="Y148">
        <v>7</v>
      </c>
      <c r="Z148">
        <v>4</v>
      </c>
      <c r="AA148">
        <v>9</v>
      </c>
    </row>
    <row r="149" spans="1:27" x14ac:dyDescent="0.25">
      <c r="A149">
        <f t="shared" si="33"/>
        <v>147</v>
      </c>
      <c r="B149" t="str">
        <f t="shared" si="31"/>
        <v>2a3b</v>
      </c>
      <c r="D149" s="3">
        <v>9</v>
      </c>
      <c r="E149">
        <f t="shared" si="27"/>
        <v>145</v>
      </c>
      <c r="F149">
        <f t="shared" si="26"/>
        <v>7</v>
      </c>
      <c r="G149" s="1" t="str">
        <f t="shared" si="28"/>
        <v>2.1.3</v>
      </c>
      <c r="H149" s="1">
        <f t="shared" si="34"/>
        <v>4</v>
      </c>
      <c r="I149" t="str">
        <f t="shared" si="36"/>
        <v>2.1.3.2</v>
      </c>
      <c r="J149" t="s">
        <v>204</v>
      </c>
      <c r="L149" s="1">
        <f t="shared" si="35"/>
        <v>8</v>
      </c>
      <c r="M149" s="1" t="str">
        <f t="shared" si="29"/>
        <v>2.1.3</v>
      </c>
      <c r="N149">
        <f t="shared" si="32"/>
        <v>0</v>
      </c>
      <c r="P149" s="13">
        <f t="shared" si="30"/>
        <v>9.7272727272727266</v>
      </c>
      <c r="R149">
        <v>10</v>
      </c>
      <c r="S149">
        <v>10</v>
      </c>
      <c r="T149">
        <v>10</v>
      </c>
      <c r="U149">
        <v>9</v>
      </c>
      <c r="V149">
        <v>10</v>
      </c>
      <c r="W149">
        <v>10</v>
      </c>
      <c r="X149">
        <v>10</v>
      </c>
      <c r="Y149">
        <v>9</v>
      </c>
      <c r="Z149">
        <v>10</v>
      </c>
      <c r="AA149">
        <v>10</v>
      </c>
    </row>
    <row r="150" spans="1:27" x14ac:dyDescent="0.25">
      <c r="A150">
        <f t="shared" si="33"/>
        <v>148</v>
      </c>
      <c r="B150" t="str">
        <f t="shared" si="31"/>
        <v>2a3c</v>
      </c>
      <c r="D150" s="3">
        <v>6</v>
      </c>
      <c r="E150">
        <f t="shared" si="27"/>
        <v>145</v>
      </c>
      <c r="F150">
        <f t="shared" si="26"/>
        <v>7</v>
      </c>
      <c r="G150" s="1" t="str">
        <f t="shared" si="28"/>
        <v>2.1.3</v>
      </c>
      <c r="H150" s="1">
        <f t="shared" si="34"/>
        <v>4</v>
      </c>
      <c r="I150" t="str">
        <f t="shared" si="36"/>
        <v>2.1.3.3</v>
      </c>
      <c r="J150" t="s">
        <v>205</v>
      </c>
      <c r="L150" s="1">
        <f t="shared" si="35"/>
        <v>8</v>
      </c>
      <c r="M150" s="1" t="str">
        <f t="shared" si="29"/>
        <v>2.1.3</v>
      </c>
      <c r="N150">
        <f t="shared" si="32"/>
        <v>0</v>
      </c>
      <c r="P150" s="13">
        <f t="shared" si="30"/>
        <v>6.3636363636363633</v>
      </c>
      <c r="R150">
        <v>6</v>
      </c>
      <c r="S150">
        <v>9</v>
      </c>
      <c r="T150">
        <v>7</v>
      </c>
      <c r="U150">
        <v>7</v>
      </c>
      <c r="V150">
        <v>3</v>
      </c>
      <c r="W150">
        <v>4</v>
      </c>
      <c r="X150">
        <v>6</v>
      </c>
      <c r="Y150">
        <v>7</v>
      </c>
      <c r="Z150">
        <v>10</v>
      </c>
      <c r="AA150">
        <v>5</v>
      </c>
    </row>
    <row r="151" spans="1:27" x14ac:dyDescent="0.25">
      <c r="A151">
        <f t="shared" si="33"/>
        <v>149</v>
      </c>
      <c r="B151" t="str">
        <f t="shared" si="31"/>
        <v>2a3d</v>
      </c>
      <c r="D151" s="3">
        <v>9</v>
      </c>
      <c r="E151">
        <f t="shared" si="27"/>
        <v>145</v>
      </c>
      <c r="F151">
        <f t="shared" si="26"/>
        <v>7</v>
      </c>
      <c r="G151" s="1" t="str">
        <f t="shared" si="28"/>
        <v>2.1.3</v>
      </c>
      <c r="H151" s="1">
        <f t="shared" si="34"/>
        <v>4</v>
      </c>
      <c r="I151" t="str">
        <f t="shared" si="36"/>
        <v>2.1.3.4</v>
      </c>
      <c r="J151" t="s">
        <v>206</v>
      </c>
      <c r="L151" s="1">
        <f t="shared" si="35"/>
        <v>8</v>
      </c>
      <c r="M151" s="1" t="str">
        <f t="shared" si="29"/>
        <v>2.1.3</v>
      </c>
      <c r="N151">
        <f t="shared" si="32"/>
        <v>0</v>
      </c>
      <c r="P151" s="13">
        <f t="shared" si="30"/>
        <v>9.3636363636363633</v>
      </c>
      <c r="R151">
        <v>10</v>
      </c>
      <c r="S151">
        <v>9</v>
      </c>
      <c r="T151">
        <v>10</v>
      </c>
      <c r="U151">
        <v>10</v>
      </c>
      <c r="V151">
        <v>8</v>
      </c>
      <c r="W151">
        <v>9</v>
      </c>
      <c r="X151">
        <v>9</v>
      </c>
      <c r="Y151">
        <v>10</v>
      </c>
      <c r="Z151">
        <v>10</v>
      </c>
      <c r="AA151">
        <v>9</v>
      </c>
    </row>
    <row r="152" spans="1:27" x14ac:dyDescent="0.25">
      <c r="A152">
        <f t="shared" si="33"/>
        <v>150</v>
      </c>
      <c r="B152" t="str">
        <f t="shared" si="31"/>
        <v>2a3e</v>
      </c>
      <c r="D152" s="3">
        <v>7</v>
      </c>
      <c r="E152">
        <f t="shared" si="27"/>
        <v>145</v>
      </c>
      <c r="F152">
        <f t="shared" si="26"/>
        <v>7</v>
      </c>
      <c r="G152" s="1" t="str">
        <f t="shared" si="28"/>
        <v>2.1.3</v>
      </c>
      <c r="H152" s="1">
        <f t="shared" si="34"/>
        <v>4</v>
      </c>
      <c r="I152" t="str">
        <f t="shared" si="36"/>
        <v>2.1.3.5</v>
      </c>
      <c r="J152" t="s">
        <v>207</v>
      </c>
      <c r="L152" s="1">
        <f t="shared" si="35"/>
        <v>8</v>
      </c>
      <c r="M152" s="1" t="str">
        <f t="shared" si="29"/>
        <v>2.1.3</v>
      </c>
      <c r="N152">
        <f t="shared" si="32"/>
        <v>0</v>
      </c>
      <c r="P152" s="13">
        <f t="shared" si="30"/>
        <v>7.0909090909090908</v>
      </c>
      <c r="R152">
        <v>7</v>
      </c>
      <c r="S152">
        <v>7</v>
      </c>
      <c r="T152">
        <v>8</v>
      </c>
      <c r="U152">
        <v>5</v>
      </c>
      <c r="V152">
        <v>6</v>
      </c>
      <c r="W152">
        <v>9</v>
      </c>
      <c r="X152">
        <v>7</v>
      </c>
      <c r="Y152">
        <v>7</v>
      </c>
      <c r="Z152">
        <v>7</v>
      </c>
      <c r="AA152">
        <v>8</v>
      </c>
    </row>
    <row r="153" spans="1:27" x14ac:dyDescent="0.25">
      <c r="A153">
        <f t="shared" si="33"/>
        <v>151</v>
      </c>
      <c r="B153" t="str">
        <f t="shared" si="31"/>
        <v>2a4</v>
      </c>
      <c r="D153" s="10">
        <v>7</v>
      </c>
      <c r="E153">
        <f t="shared" si="27"/>
        <v>135</v>
      </c>
      <c r="F153">
        <f t="shared" si="26"/>
        <v>5</v>
      </c>
      <c r="G153" s="1" t="str">
        <f t="shared" si="28"/>
        <v>2.1</v>
      </c>
      <c r="H153" s="1">
        <f t="shared" si="34"/>
        <v>3</v>
      </c>
      <c r="I153" t="str">
        <f t="shared" si="36"/>
        <v>2.1.4</v>
      </c>
      <c r="J153" t="s">
        <v>208</v>
      </c>
      <c r="L153" s="1">
        <f t="shared" si="35"/>
        <v>6</v>
      </c>
      <c r="M153" s="1" t="str">
        <f t="shared" si="29"/>
        <v>2.1</v>
      </c>
      <c r="N153">
        <f t="shared" si="32"/>
        <v>0</v>
      </c>
      <c r="P153" s="13">
        <f t="shared" si="30"/>
        <v>7.2727272727272725</v>
      </c>
      <c r="R153">
        <v>7</v>
      </c>
      <c r="S153">
        <v>5</v>
      </c>
      <c r="T153">
        <v>8</v>
      </c>
      <c r="U153">
        <v>8</v>
      </c>
      <c r="V153">
        <v>8</v>
      </c>
      <c r="W153">
        <v>7</v>
      </c>
      <c r="X153">
        <v>5</v>
      </c>
      <c r="Y153">
        <v>7</v>
      </c>
      <c r="Z153">
        <v>10</v>
      </c>
      <c r="AA153">
        <v>8</v>
      </c>
    </row>
    <row r="154" spans="1:27" x14ac:dyDescent="0.25">
      <c r="A154">
        <f t="shared" si="33"/>
        <v>152</v>
      </c>
      <c r="B154" t="str">
        <f t="shared" si="31"/>
        <v>2b</v>
      </c>
      <c r="D154" s="9">
        <v>10</v>
      </c>
      <c r="E154">
        <f t="shared" si="27"/>
        <v>134</v>
      </c>
      <c r="F154">
        <f t="shared" si="26"/>
        <v>3</v>
      </c>
      <c r="G154" s="1" t="str">
        <f t="shared" si="28"/>
        <v>2</v>
      </c>
      <c r="H154" s="1">
        <f t="shared" si="34"/>
        <v>2</v>
      </c>
      <c r="I154" t="str">
        <f t="shared" si="36"/>
        <v>2.2</v>
      </c>
      <c r="J154" t="s">
        <v>209</v>
      </c>
      <c r="L154" s="1">
        <f t="shared" si="35"/>
        <v>4</v>
      </c>
      <c r="M154" s="1" t="str">
        <f t="shared" si="29"/>
        <v>2</v>
      </c>
      <c r="N154">
        <f t="shared" si="32"/>
        <v>0</v>
      </c>
      <c r="P154" s="13">
        <f t="shared" si="30"/>
        <v>9.7272727272727266</v>
      </c>
      <c r="R154">
        <v>9</v>
      </c>
      <c r="S154">
        <v>9</v>
      </c>
      <c r="T154">
        <v>10</v>
      </c>
      <c r="U154">
        <v>10</v>
      </c>
      <c r="V154">
        <v>10</v>
      </c>
      <c r="W154">
        <v>9</v>
      </c>
      <c r="X154">
        <v>10</v>
      </c>
      <c r="Y154">
        <v>10</v>
      </c>
      <c r="Z154">
        <v>10</v>
      </c>
      <c r="AA154">
        <v>10</v>
      </c>
    </row>
    <row r="155" spans="1:27" x14ac:dyDescent="0.25">
      <c r="A155">
        <f t="shared" si="33"/>
        <v>153</v>
      </c>
      <c r="B155" t="str">
        <f t="shared" si="31"/>
        <v>2b1</v>
      </c>
      <c r="D155" s="10">
        <v>8</v>
      </c>
      <c r="E155">
        <f t="shared" si="27"/>
        <v>152</v>
      </c>
      <c r="F155">
        <f t="shared" si="26"/>
        <v>5</v>
      </c>
      <c r="G155" s="1" t="str">
        <f t="shared" si="28"/>
        <v>2.2</v>
      </c>
      <c r="H155" s="1">
        <f t="shared" si="34"/>
        <v>3</v>
      </c>
      <c r="I155" t="str">
        <f t="shared" si="36"/>
        <v>2.2.1</v>
      </c>
      <c r="J155" t="s">
        <v>210</v>
      </c>
      <c r="L155" s="1">
        <f t="shared" si="35"/>
        <v>6</v>
      </c>
      <c r="M155" s="1" t="str">
        <f t="shared" si="29"/>
        <v>2.2</v>
      </c>
      <c r="N155">
        <f t="shared" si="32"/>
        <v>0</v>
      </c>
      <c r="P155" s="13">
        <f t="shared" si="30"/>
        <v>8.3636363636363633</v>
      </c>
      <c r="R155">
        <v>7</v>
      </c>
      <c r="S155">
        <v>9</v>
      </c>
      <c r="T155">
        <v>8</v>
      </c>
      <c r="U155">
        <v>9</v>
      </c>
      <c r="V155">
        <v>8</v>
      </c>
      <c r="W155">
        <v>8</v>
      </c>
      <c r="X155">
        <v>10</v>
      </c>
      <c r="Y155">
        <v>8</v>
      </c>
      <c r="Z155">
        <v>9</v>
      </c>
      <c r="AA155">
        <v>8</v>
      </c>
    </row>
    <row r="156" spans="1:27" x14ac:dyDescent="0.25">
      <c r="A156">
        <f t="shared" si="33"/>
        <v>154</v>
      </c>
      <c r="B156" t="str">
        <f t="shared" si="31"/>
        <v>2b1a</v>
      </c>
      <c r="D156" s="3">
        <v>8</v>
      </c>
      <c r="E156">
        <f t="shared" si="27"/>
        <v>153</v>
      </c>
      <c r="F156">
        <f t="shared" si="26"/>
        <v>7</v>
      </c>
      <c r="G156" s="1" t="str">
        <f t="shared" si="28"/>
        <v>2.2.1</v>
      </c>
      <c r="H156" s="1">
        <f t="shared" si="34"/>
        <v>4</v>
      </c>
      <c r="I156" t="str">
        <f t="shared" si="36"/>
        <v>2.2.1.1</v>
      </c>
      <c r="J156" t="s">
        <v>211</v>
      </c>
      <c r="L156" s="1">
        <f t="shared" si="35"/>
        <v>8</v>
      </c>
      <c r="M156" s="1" t="str">
        <f t="shared" si="29"/>
        <v>2.2.1</v>
      </c>
      <c r="N156">
        <f t="shared" si="32"/>
        <v>0</v>
      </c>
      <c r="P156" s="13">
        <f t="shared" si="30"/>
        <v>7.3636363636363633</v>
      </c>
      <c r="R156">
        <v>6</v>
      </c>
      <c r="S156">
        <v>8</v>
      </c>
      <c r="T156">
        <v>6</v>
      </c>
      <c r="U156">
        <v>8</v>
      </c>
      <c r="V156">
        <v>10</v>
      </c>
      <c r="W156">
        <v>10</v>
      </c>
      <c r="X156">
        <v>9</v>
      </c>
      <c r="Y156">
        <v>8</v>
      </c>
      <c r="Z156">
        <v>0</v>
      </c>
      <c r="AA156">
        <v>8</v>
      </c>
    </row>
    <row r="157" spans="1:27" x14ac:dyDescent="0.25">
      <c r="A157">
        <f t="shared" si="33"/>
        <v>155</v>
      </c>
      <c r="B157" t="str">
        <f t="shared" si="31"/>
        <v>2b2</v>
      </c>
      <c r="D157" s="10">
        <v>10</v>
      </c>
      <c r="E157">
        <f t="shared" si="27"/>
        <v>152</v>
      </c>
      <c r="F157">
        <f t="shared" si="26"/>
        <v>5</v>
      </c>
      <c r="G157" s="1" t="str">
        <f t="shared" si="28"/>
        <v>2.2</v>
      </c>
      <c r="H157" s="1">
        <f t="shared" si="34"/>
        <v>3</v>
      </c>
      <c r="I157" t="str">
        <f t="shared" si="36"/>
        <v>2.2.2</v>
      </c>
      <c r="J157" t="s">
        <v>212</v>
      </c>
      <c r="L157" s="1">
        <f t="shared" si="35"/>
        <v>6</v>
      </c>
      <c r="M157" s="1" t="str">
        <f t="shared" si="29"/>
        <v>2.2</v>
      </c>
      <c r="N157">
        <f t="shared" si="32"/>
        <v>0</v>
      </c>
      <c r="P157" s="13">
        <f t="shared" si="30"/>
        <v>9.1818181818181817</v>
      </c>
      <c r="R157">
        <v>10</v>
      </c>
      <c r="S157">
        <v>9</v>
      </c>
      <c r="T157">
        <v>10</v>
      </c>
      <c r="U157">
        <v>10</v>
      </c>
      <c r="V157">
        <v>10</v>
      </c>
      <c r="W157">
        <v>10</v>
      </c>
      <c r="X157">
        <v>9</v>
      </c>
      <c r="Y157">
        <v>10</v>
      </c>
      <c r="Z157">
        <v>4</v>
      </c>
      <c r="AA157">
        <v>9</v>
      </c>
    </row>
    <row r="158" spans="1:27" x14ac:dyDescent="0.25">
      <c r="A158">
        <f t="shared" si="33"/>
        <v>156</v>
      </c>
      <c r="B158" t="str">
        <f t="shared" si="31"/>
        <v>2b2a</v>
      </c>
      <c r="D158" s="3">
        <v>10</v>
      </c>
      <c r="E158">
        <f t="shared" si="27"/>
        <v>155</v>
      </c>
      <c r="F158">
        <f t="shared" si="26"/>
        <v>7</v>
      </c>
      <c r="G158" s="1" t="str">
        <f t="shared" si="28"/>
        <v>2.2.2</v>
      </c>
      <c r="H158" s="1">
        <f t="shared" si="34"/>
        <v>4</v>
      </c>
      <c r="I158" t="str">
        <f t="shared" si="36"/>
        <v>2.2.2.1</v>
      </c>
      <c r="J158" t="s">
        <v>213</v>
      </c>
      <c r="L158" s="1">
        <f t="shared" si="35"/>
        <v>8</v>
      </c>
      <c r="M158" s="1" t="str">
        <f t="shared" si="29"/>
        <v>2.2.2</v>
      </c>
      <c r="N158">
        <f t="shared" si="32"/>
        <v>0</v>
      </c>
      <c r="P158" s="13">
        <f t="shared" si="30"/>
        <v>8.8181818181818183</v>
      </c>
      <c r="R158">
        <v>8</v>
      </c>
      <c r="S158">
        <v>10</v>
      </c>
      <c r="T158">
        <v>8</v>
      </c>
      <c r="U158">
        <v>10</v>
      </c>
      <c r="V158">
        <v>8</v>
      </c>
      <c r="W158">
        <v>10</v>
      </c>
      <c r="X158">
        <v>10</v>
      </c>
      <c r="Y158">
        <v>10</v>
      </c>
      <c r="Z158">
        <v>4</v>
      </c>
      <c r="AA158">
        <v>9</v>
      </c>
    </row>
    <row r="159" spans="1:27" x14ac:dyDescent="0.25">
      <c r="A159">
        <f t="shared" si="33"/>
        <v>157</v>
      </c>
      <c r="B159" t="str">
        <f t="shared" si="31"/>
        <v>2b2b</v>
      </c>
      <c r="D159" s="3">
        <v>7</v>
      </c>
      <c r="E159">
        <f t="shared" si="27"/>
        <v>155</v>
      </c>
      <c r="F159">
        <f t="shared" si="26"/>
        <v>7</v>
      </c>
      <c r="G159" s="1" t="str">
        <f t="shared" si="28"/>
        <v>2.2.2</v>
      </c>
      <c r="H159" s="1">
        <f t="shared" si="34"/>
        <v>4</v>
      </c>
      <c r="I159" t="str">
        <f t="shared" si="36"/>
        <v>2.2.2.2</v>
      </c>
      <c r="J159" t="s">
        <v>214</v>
      </c>
      <c r="L159" s="1">
        <f t="shared" si="35"/>
        <v>8</v>
      </c>
      <c r="M159" s="1" t="str">
        <f t="shared" si="29"/>
        <v>2.2.2</v>
      </c>
      <c r="N159">
        <f t="shared" si="32"/>
        <v>0</v>
      </c>
      <c r="P159" s="13">
        <f t="shared" si="30"/>
        <v>6.8181818181818183</v>
      </c>
      <c r="R159">
        <v>6</v>
      </c>
      <c r="S159">
        <v>7</v>
      </c>
      <c r="T159">
        <v>8</v>
      </c>
      <c r="U159">
        <v>6</v>
      </c>
      <c r="V159">
        <v>5</v>
      </c>
      <c r="W159">
        <v>8</v>
      </c>
      <c r="X159">
        <v>7</v>
      </c>
      <c r="Y159">
        <v>7</v>
      </c>
      <c r="Z159">
        <v>6</v>
      </c>
      <c r="AA159">
        <v>8</v>
      </c>
    </row>
    <row r="160" spans="1:27" x14ac:dyDescent="0.25">
      <c r="A160">
        <f t="shared" si="33"/>
        <v>158</v>
      </c>
      <c r="B160" t="str">
        <f t="shared" si="31"/>
        <v>2b2c</v>
      </c>
      <c r="D160" s="3">
        <v>8</v>
      </c>
      <c r="E160">
        <f t="shared" si="27"/>
        <v>155</v>
      </c>
      <c r="F160">
        <f t="shared" si="26"/>
        <v>7</v>
      </c>
      <c r="G160" s="1" t="str">
        <f t="shared" si="28"/>
        <v>2.2.2</v>
      </c>
      <c r="H160" s="1">
        <f t="shared" si="34"/>
        <v>4</v>
      </c>
      <c r="I160" t="str">
        <f t="shared" si="36"/>
        <v>2.2.2.3</v>
      </c>
      <c r="J160" t="s">
        <v>215</v>
      </c>
      <c r="L160" s="1">
        <f t="shared" si="35"/>
        <v>8</v>
      </c>
      <c r="M160" s="1" t="str">
        <f t="shared" si="29"/>
        <v>2.2.2</v>
      </c>
      <c r="N160">
        <f t="shared" si="32"/>
        <v>0</v>
      </c>
      <c r="P160" s="13">
        <f t="shared" si="30"/>
        <v>8.2727272727272734</v>
      </c>
      <c r="R160">
        <v>8</v>
      </c>
      <c r="S160">
        <v>8</v>
      </c>
      <c r="T160">
        <v>10</v>
      </c>
      <c r="U160">
        <v>7</v>
      </c>
      <c r="V160">
        <v>10</v>
      </c>
      <c r="W160">
        <v>7</v>
      </c>
      <c r="X160">
        <v>8</v>
      </c>
      <c r="Y160">
        <v>7</v>
      </c>
      <c r="Z160">
        <v>9</v>
      </c>
      <c r="AA160">
        <v>9</v>
      </c>
    </row>
    <row r="161" spans="1:27" x14ac:dyDescent="0.25">
      <c r="A161">
        <f t="shared" si="33"/>
        <v>159</v>
      </c>
      <c r="B161" t="str">
        <f t="shared" si="31"/>
        <v>2b3</v>
      </c>
      <c r="D161" s="10">
        <v>7</v>
      </c>
      <c r="E161">
        <f t="shared" si="27"/>
        <v>152</v>
      </c>
      <c r="F161">
        <f t="shared" si="26"/>
        <v>5</v>
      </c>
      <c r="G161" s="1" t="str">
        <f t="shared" si="28"/>
        <v>2.2</v>
      </c>
      <c r="H161" s="1">
        <f t="shared" si="34"/>
        <v>3</v>
      </c>
      <c r="I161" t="str">
        <f t="shared" si="36"/>
        <v>2.2.3</v>
      </c>
      <c r="J161" t="s">
        <v>216</v>
      </c>
      <c r="L161" s="1">
        <f t="shared" si="35"/>
        <v>6</v>
      </c>
      <c r="M161" s="1" t="str">
        <f t="shared" si="29"/>
        <v>2.2</v>
      </c>
      <c r="N161">
        <f t="shared" si="32"/>
        <v>0</v>
      </c>
      <c r="P161" s="13">
        <f t="shared" si="30"/>
        <v>7.4545454545454541</v>
      </c>
      <c r="R161">
        <v>9</v>
      </c>
      <c r="S161">
        <v>7</v>
      </c>
      <c r="T161">
        <v>8</v>
      </c>
      <c r="U161">
        <v>7</v>
      </c>
      <c r="V161">
        <v>5</v>
      </c>
      <c r="W161">
        <v>8</v>
      </c>
      <c r="X161">
        <v>6</v>
      </c>
      <c r="Y161">
        <v>7</v>
      </c>
      <c r="Z161">
        <v>10</v>
      </c>
      <c r="AA161">
        <v>8</v>
      </c>
    </row>
    <row r="162" spans="1:27" x14ac:dyDescent="0.25">
      <c r="A162">
        <f t="shared" si="33"/>
        <v>160</v>
      </c>
      <c r="B162" t="str">
        <f t="shared" si="31"/>
        <v>2b3a</v>
      </c>
      <c r="D162" s="3">
        <v>7</v>
      </c>
      <c r="E162">
        <f t="shared" si="27"/>
        <v>159</v>
      </c>
      <c r="F162">
        <f t="shared" si="26"/>
        <v>7</v>
      </c>
      <c r="G162" s="1" t="str">
        <f t="shared" si="28"/>
        <v>2.2.3</v>
      </c>
      <c r="H162" s="1">
        <f t="shared" si="34"/>
        <v>4</v>
      </c>
      <c r="I162" t="str">
        <f t="shared" si="36"/>
        <v>2.2.3.1</v>
      </c>
      <c r="J162" t="s">
        <v>217</v>
      </c>
      <c r="L162" s="1">
        <f t="shared" si="35"/>
        <v>8</v>
      </c>
      <c r="M162" s="1" t="str">
        <f t="shared" si="29"/>
        <v>2.2.3</v>
      </c>
      <c r="N162">
        <f t="shared" si="32"/>
        <v>0</v>
      </c>
      <c r="P162" s="13">
        <f t="shared" si="30"/>
        <v>6.4545454545454541</v>
      </c>
      <c r="R162">
        <v>5</v>
      </c>
      <c r="S162">
        <v>9</v>
      </c>
      <c r="T162">
        <v>10</v>
      </c>
      <c r="U162">
        <v>7</v>
      </c>
      <c r="V162">
        <v>3</v>
      </c>
      <c r="W162">
        <v>8</v>
      </c>
      <c r="X162">
        <v>6</v>
      </c>
      <c r="Y162">
        <v>9</v>
      </c>
      <c r="Z162">
        <v>-1</v>
      </c>
      <c r="AA162">
        <v>8</v>
      </c>
    </row>
    <row r="163" spans="1:27" x14ac:dyDescent="0.25">
      <c r="A163">
        <f t="shared" si="33"/>
        <v>161</v>
      </c>
      <c r="B163" t="str">
        <f t="shared" si="31"/>
        <v>2b4</v>
      </c>
      <c r="D163" s="10">
        <v>6</v>
      </c>
      <c r="E163">
        <f t="shared" si="27"/>
        <v>152</v>
      </c>
      <c r="F163">
        <f t="shared" si="26"/>
        <v>5</v>
      </c>
      <c r="G163" s="1" t="str">
        <f t="shared" si="28"/>
        <v>2.2</v>
      </c>
      <c r="H163" s="1">
        <f t="shared" si="34"/>
        <v>3</v>
      </c>
      <c r="I163" t="str">
        <f t="shared" si="36"/>
        <v>2.2.4</v>
      </c>
      <c r="J163" t="s">
        <v>218</v>
      </c>
      <c r="L163" s="1">
        <f t="shared" si="35"/>
        <v>6</v>
      </c>
      <c r="M163" s="1" t="str">
        <f t="shared" si="29"/>
        <v>2.2</v>
      </c>
      <c r="N163">
        <f t="shared" si="32"/>
        <v>0</v>
      </c>
      <c r="P163" s="13">
        <f t="shared" si="30"/>
        <v>5.9090909090909092</v>
      </c>
      <c r="R163">
        <v>7</v>
      </c>
      <c r="S163">
        <v>6</v>
      </c>
      <c r="T163">
        <v>9</v>
      </c>
      <c r="U163">
        <v>8</v>
      </c>
      <c r="V163">
        <v>1</v>
      </c>
      <c r="W163">
        <v>4</v>
      </c>
      <c r="X163">
        <v>7</v>
      </c>
      <c r="Y163">
        <v>6</v>
      </c>
      <c r="Z163">
        <v>4</v>
      </c>
      <c r="AA163">
        <v>7</v>
      </c>
    </row>
    <row r="164" spans="1:27" x14ac:dyDescent="0.25">
      <c r="A164">
        <f t="shared" si="33"/>
        <v>162</v>
      </c>
      <c r="B164" t="str">
        <f t="shared" si="31"/>
        <v>2b5</v>
      </c>
      <c r="D164" s="10">
        <v>6</v>
      </c>
      <c r="E164">
        <f t="shared" si="27"/>
        <v>152</v>
      </c>
      <c r="F164">
        <f t="shared" si="26"/>
        <v>5</v>
      </c>
      <c r="G164" s="1" t="str">
        <f t="shared" si="28"/>
        <v>2.2</v>
      </c>
      <c r="H164" s="1">
        <f t="shared" si="34"/>
        <v>3</v>
      </c>
      <c r="I164" t="str">
        <f t="shared" si="36"/>
        <v>2.2.5</v>
      </c>
      <c r="J164" t="s">
        <v>219</v>
      </c>
      <c r="L164" s="1">
        <f t="shared" si="35"/>
        <v>6</v>
      </c>
      <c r="M164" s="1" t="str">
        <f t="shared" si="29"/>
        <v>2.2</v>
      </c>
      <c r="N164">
        <f t="shared" si="32"/>
        <v>0</v>
      </c>
      <c r="P164" s="13">
        <f t="shared" si="30"/>
        <v>5.4545454545454541</v>
      </c>
      <c r="R164">
        <v>6</v>
      </c>
      <c r="S164">
        <v>7</v>
      </c>
      <c r="T164">
        <v>5</v>
      </c>
      <c r="U164">
        <v>6</v>
      </c>
      <c r="V164">
        <v>1</v>
      </c>
      <c r="W164">
        <v>5</v>
      </c>
      <c r="X164">
        <v>4</v>
      </c>
      <c r="Y164">
        <v>7</v>
      </c>
      <c r="Z164">
        <v>5</v>
      </c>
      <c r="AA164">
        <v>8</v>
      </c>
    </row>
    <row r="165" spans="1:27" x14ac:dyDescent="0.25">
      <c r="A165">
        <f t="shared" si="33"/>
        <v>163</v>
      </c>
      <c r="B165" t="str">
        <f t="shared" si="31"/>
        <v>2b6</v>
      </c>
      <c r="D165" s="10">
        <v>5</v>
      </c>
      <c r="E165">
        <f t="shared" si="27"/>
        <v>152</v>
      </c>
      <c r="F165">
        <f t="shared" si="26"/>
        <v>5</v>
      </c>
      <c r="G165" s="1" t="str">
        <f t="shared" si="28"/>
        <v>2.2</v>
      </c>
      <c r="H165" s="1">
        <f t="shared" si="34"/>
        <v>3</v>
      </c>
      <c r="I165" t="str">
        <f t="shared" si="36"/>
        <v>2.2.6</v>
      </c>
      <c r="J165" t="s">
        <v>220</v>
      </c>
      <c r="L165" s="1">
        <f t="shared" si="35"/>
        <v>6</v>
      </c>
      <c r="M165" s="1" t="str">
        <f t="shared" si="29"/>
        <v>2.2</v>
      </c>
      <c r="N165">
        <f t="shared" si="32"/>
        <v>0</v>
      </c>
      <c r="P165" s="13">
        <f t="shared" si="30"/>
        <v>5.8181818181818183</v>
      </c>
      <c r="R165">
        <v>6</v>
      </c>
      <c r="S165">
        <v>4</v>
      </c>
      <c r="T165">
        <v>2</v>
      </c>
      <c r="U165">
        <v>6</v>
      </c>
      <c r="V165">
        <v>4</v>
      </c>
      <c r="W165">
        <v>6</v>
      </c>
      <c r="X165">
        <v>7</v>
      </c>
      <c r="Y165">
        <v>7</v>
      </c>
      <c r="Z165">
        <v>10</v>
      </c>
      <c r="AA165">
        <v>7</v>
      </c>
    </row>
    <row r="166" spans="1:27" x14ac:dyDescent="0.25">
      <c r="A166">
        <f t="shared" si="33"/>
        <v>164</v>
      </c>
      <c r="B166" t="str">
        <f t="shared" si="31"/>
        <v>2c</v>
      </c>
      <c r="D166" s="9">
        <v>7</v>
      </c>
      <c r="E166">
        <f t="shared" si="27"/>
        <v>134</v>
      </c>
      <c r="F166">
        <f t="shared" si="26"/>
        <v>3</v>
      </c>
      <c r="G166" s="1" t="str">
        <f t="shared" si="28"/>
        <v>2</v>
      </c>
      <c r="H166" s="1">
        <f t="shared" si="34"/>
        <v>2</v>
      </c>
      <c r="I166" t="str">
        <f t="shared" si="36"/>
        <v>2.3</v>
      </c>
      <c r="J166" t="s">
        <v>48</v>
      </c>
      <c r="L166" s="1">
        <f t="shared" si="35"/>
        <v>4</v>
      </c>
      <c r="M166" s="1" t="str">
        <f t="shared" si="29"/>
        <v>2</v>
      </c>
      <c r="N166">
        <f t="shared" si="32"/>
        <v>0</v>
      </c>
      <c r="P166" s="13">
        <f t="shared" si="30"/>
        <v>7.1818181818181817</v>
      </c>
      <c r="R166">
        <v>7</v>
      </c>
      <c r="S166">
        <v>6</v>
      </c>
      <c r="T166">
        <v>8</v>
      </c>
      <c r="U166">
        <v>6</v>
      </c>
      <c r="V166">
        <v>7</v>
      </c>
      <c r="W166">
        <v>6</v>
      </c>
      <c r="X166">
        <v>8</v>
      </c>
      <c r="Y166">
        <v>8</v>
      </c>
      <c r="Z166">
        <v>9</v>
      </c>
      <c r="AA166">
        <v>7</v>
      </c>
    </row>
    <row r="167" spans="1:27" x14ac:dyDescent="0.25">
      <c r="A167">
        <f t="shared" si="33"/>
        <v>165</v>
      </c>
      <c r="B167" t="str">
        <f t="shared" si="31"/>
        <v>2c1</v>
      </c>
      <c r="D167" s="10">
        <v>9</v>
      </c>
      <c r="E167">
        <f t="shared" si="27"/>
        <v>164</v>
      </c>
      <c r="F167">
        <f t="shared" si="26"/>
        <v>5</v>
      </c>
      <c r="G167" s="1" t="str">
        <f t="shared" si="28"/>
        <v>2.3</v>
      </c>
      <c r="H167" s="1">
        <f t="shared" si="34"/>
        <v>3</v>
      </c>
      <c r="I167" t="str">
        <f t="shared" si="36"/>
        <v>2.3.1</v>
      </c>
      <c r="J167" t="s">
        <v>86</v>
      </c>
      <c r="L167" s="1">
        <f t="shared" si="35"/>
        <v>6</v>
      </c>
      <c r="M167" s="1" t="str">
        <f t="shared" si="29"/>
        <v>2.3</v>
      </c>
      <c r="N167">
        <f t="shared" si="32"/>
        <v>0</v>
      </c>
      <c r="P167" s="13">
        <f t="shared" si="30"/>
        <v>9.2727272727272734</v>
      </c>
      <c r="R167">
        <v>8</v>
      </c>
      <c r="S167">
        <v>10</v>
      </c>
      <c r="T167">
        <v>10</v>
      </c>
      <c r="U167">
        <v>8</v>
      </c>
      <c r="V167">
        <v>10</v>
      </c>
      <c r="W167">
        <v>9</v>
      </c>
      <c r="X167">
        <v>8</v>
      </c>
      <c r="Y167">
        <v>10</v>
      </c>
      <c r="Z167">
        <v>10</v>
      </c>
      <c r="AA167">
        <v>10</v>
      </c>
    </row>
    <row r="168" spans="1:27" x14ac:dyDescent="0.25">
      <c r="A168">
        <f t="shared" si="33"/>
        <v>166</v>
      </c>
      <c r="B168" t="str">
        <f t="shared" si="31"/>
        <v>2c2</v>
      </c>
      <c r="D168" s="10">
        <v>7</v>
      </c>
      <c r="E168">
        <f t="shared" si="27"/>
        <v>164</v>
      </c>
      <c r="F168">
        <f t="shared" si="26"/>
        <v>5</v>
      </c>
      <c r="G168" s="1" t="str">
        <f t="shared" si="28"/>
        <v>2.3</v>
      </c>
      <c r="H168" s="1">
        <f t="shared" si="34"/>
        <v>3</v>
      </c>
      <c r="I168" t="str">
        <f t="shared" si="36"/>
        <v>2.3.2</v>
      </c>
      <c r="J168" t="s">
        <v>87</v>
      </c>
      <c r="L168" s="1">
        <f t="shared" si="35"/>
        <v>6</v>
      </c>
      <c r="M168" s="1" t="str">
        <f t="shared" si="29"/>
        <v>2.3</v>
      </c>
      <c r="N168">
        <f t="shared" si="32"/>
        <v>0</v>
      </c>
      <c r="P168" s="13">
        <f t="shared" si="30"/>
        <v>7.0909090909090908</v>
      </c>
      <c r="R168">
        <v>7</v>
      </c>
      <c r="S168">
        <v>5</v>
      </c>
      <c r="T168">
        <v>10</v>
      </c>
      <c r="U168">
        <v>8</v>
      </c>
      <c r="V168">
        <v>8</v>
      </c>
      <c r="W168">
        <v>6</v>
      </c>
      <c r="X168">
        <v>8</v>
      </c>
      <c r="Y168">
        <v>7</v>
      </c>
      <c r="Z168">
        <v>6</v>
      </c>
      <c r="AA168">
        <v>6</v>
      </c>
    </row>
    <row r="169" spans="1:27" x14ac:dyDescent="0.25">
      <c r="A169">
        <f t="shared" si="33"/>
        <v>167</v>
      </c>
      <c r="B169" t="str">
        <f t="shared" si="31"/>
        <v>2c3</v>
      </c>
      <c r="D169" s="10">
        <v>8</v>
      </c>
      <c r="E169">
        <f t="shared" si="27"/>
        <v>164</v>
      </c>
      <c r="F169">
        <f t="shared" si="26"/>
        <v>5</v>
      </c>
      <c r="G169" s="1" t="str">
        <f t="shared" si="28"/>
        <v>2.3</v>
      </c>
      <c r="H169" s="1">
        <f t="shared" si="34"/>
        <v>3</v>
      </c>
      <c r="I169" t="str">
        <f t="shared" si="36"/>
        <v>2.3.3</v>
      </c>
      <c r="J169" t="s">
        <v>88</v>
      </c>
      <c r="L169" s="1">
        <f t="shared" si="35"/>
        <v>6</v>
      </c>
      <c r="M169" s="1" t="str">
        <f t="shared" si="29"/>
        <v>2.3</v>
      </c>
      <c r="N169">
        <f t="shared" si="32"/>
        <v>0</v>
      </c>
      <c r="P169" s="13">
        <f t="shared" si="30"/>
        <v>7.2727272727272725</v>
      </c>
      <c r="R169">
        <v>7</v>
      </c>
      <c r="S169">
        <v>8</v>
      </c>
      <c r="T169">
        <v>10</v>
      </c>
      <c r="U169">
        <v>7</v>
      </c>
      <c r="V169">
        <v>5</v>
      </c>
      <c r="W169">
        <v>9</v>
      </c>
      <c r="X169">
        <v>8</v>
      </c>
      <c r="Y169">
        <v>7</v>
      </c>
      <c r="Z169">
        <v>3</v>
      </c>
      <c r="AA169">
        <v>8</v>
      </c>
    </row>
    <row r="170" spans="1:27" x14ac:dyDescent="0.25">
      <c r="A170">
        <f t="shared" si="33"/>
        <v>168</v>
      </c>
      <c r="B170" t="str">
        <f t="shared" si="31"/>
        <v>2d</v>
      </c>
      <c r="D170" s="9">
        <v>6</v>
      </c>
      <c r="E170">
        <f t="shared" si="27"/>
        <v>134</v>
      </c>
      <c r="F170">
        <f t="shared" si="26"/>
        <v>3</v>
      </c>
      <c r="G170" s="1" t="str">
        <f t="shared" si="28"/>
        <v>2</v>
      </c>
      <c r="H170" s="1">
        <f t="shared" si="34"/>
        <v>2</v>
      </c>
      <c r="I170" t="str">
        <f t="shared" si="36"/>
        <v>2.4</v>
      </c>
      <c r="J170" t="s">
        <v>221</v>
      </c>
      <c r="L170" s="1">
        <f t="shared" si="35"/>
        <v>4</v>
      </c>
      <c r="M170" s="1" t="str">
        <f t="shared" si="29"/>
        <v>2</v>
      </c>
      <c r="N170">
        <f t="shared" si="32"/>
        <v>0</v>
      </c>
      <c r="P170" s="13">
        <f t="shared" si="30"/>
        <v>5.3636363636363633</v>
      </c>
      <c r="R170">
        <v>6</v>
      </c>
      <c r="S170">
        <v>6</v>
      </c>
      <c r="T170">
        <v>5</v>
      </c>
      <c r="U170">
        <v>5</v>
      </c>
      <c r="V170">
        <v>5</v>
      </c>
      <c r="W170">
        <v>6</v>
      </c>
      <c r="X170">
        <v>4</v>
      </c>
      <c r="Y170">
        <v>7</v>
      </c>
      <c r="Z170">
        <v>4</v>
      </c>
      <c r="AA170">
        <v>5</v>
      </c>
    </row>
    <row r="171" spans="1:27" x14ac:dyDescent="0.25">
      <c r="A171">
        <f t="shared" si="33"/>
        <v>169</v>
      </c>
      <c r="B171" t="str">
        <f t="shared" si="31"/>
        <v>2d1</v>
      </c>
      <c r="D171" s="10">
        <v>9</v>
      </c>
      <c r="E171">
        <f t="shared" si="27"/>
        <v>168</v>
      </c>
      <c r="F171">
        <f t="shared" si="26"/>
        <v>5</v>
      </c>
      <c r="G171" s="1" t="str">
        <f t="shared" si="28"/>
        <v>2.4</v>
      </c>
      <c r="H171" s="1">
        <f t="shared" si="34"/>
        <v>3</v>
      </c>
      <c r="I171" t="str">
        <f t="shared" si="36"/>
        <v>2.4.1</v>
      </c>
      <c r="J171" t="s">
        <v>96</v>
      </c>
      <c r="L171" s="1">
        <f t="shared" si="35"/>
        <v>6</v>
      </c>
      <c r="M171" s="1" t="str">
        <f t="shared" si="29"/>
        <v>2.4</v>
      </c>
      <c r="N171">
        <f t="shared" si="32"/>
        <v>0</v>
      </c>
      <c r="P171" s="13">
        <f t="shared" si="30"/>
        <v>8.9090909090909083</v>
      </c>
      <c r="R171">
        <v>10</v>
      </c>
      <c r="S171">
        <v>10</v>
      </c>
      <c r="T171">
        <v>9</v>
      </c>
      <c r="U171">
        <v>10</v>
      </c>
      <c r="V171">
        <v>9</v>
      </c>
      <c r="W171">
        <v>6</v>
      </c>
      <c r="X171">
        <v>8</v>
      </c>
      <c r="Y171">
        <v>10</v>
      </c>
      <c r="Z171">
        <v>8</v>
      </c>
      <c r="AA171">
        <v>9</v>
      </c>
    </row>
    <row r="172" spans="1:27" x14ac:dyDescent="0.25">
      <c r="A172">
        <f t="shared" si="33"/>
        <v>170</v>
      </c>
      <c r="B172" t="str">
        <f t="shared" si="31"/>
        <v>2d2</v>
      </c>
      <c r="D172" s="10">
        <v>9</v>
      </c>
      <c r="E172">
        <f t="shared" si="27"/>
        <v>168</v>
      </c>
      <c r="F172">
        <f t="shared" si="26"/>
        <v>5</v>
      </c>
      <c r="G172" s="1" t="str">
        <f t="shared" si="28"/>
        <v>2.4</v>
      </c>
      <c r="H172" s="1">
        <f t="shared" si="34"/>
        <v>3</v>
      </c>
      <c r="I172" t="str">
        <f t="shared" si="36"/>
        <v>2.4.2</v>
      </c>
      <c r="J172" t="s">
        <v>97</v>
      </c>
      <c r="L172" s="1">
        <f t="shared" si="35"/>
        <v>6</v>
      </c>
      <c r="M172" s="1" t="str">
        <f t="shared" si="29"/>
        <v>2.4</v>
      </c>
      <c r="N172">
        <f t="shared" si="32"/>
        <v>0</v>
      </c>
      <c r="P172" s="13">
        <f t="shared" si="30"/>
        <v>9.0909090909090917</v>
      </c>
      <c r="R172">
        <v>9</v>
      </c>
      <c r="S172">
        <v>8</v>
      </c>
      <c r="T172">
        <v>10</v>
      </c>
      <c r="U172">
        <v>9</v>
      </c>
      <c r="V172">
        <v>10</v>
      </c>
      <c r="W172">
        <v>8</v>
      </c>
      <c r="X172">
        <v>10</v>
      </c>
      <c r="Y172">
        <v>8</v>
      </c>
      <c r="Z172">
        <v>10</v>
      </c>
      <c r="AA172">
        <v>9</v>
      </c>
    </row>
    <row r="173" spans="1:27" x14ac:dyDescent="0.25">
      <c r="A173">
        <f t="shared" si="33"/>
        <v>171</v>
      </c>
      <c r="B173" t="str">
        <f t="shared" si="31"/>
        <v>2d3</v>
      </c>
      <c r="D173" s="10">
        <v>8</v>
      </c>
      <c r="E173">
        <f t="shared" si="27"/>
        <v>168</v>
      </c>
      <c r="F173">
        <f t="shared" si="26"/>
        <v>5</v>
      </c>
      <c r="G173" s="1" t="str">
        <f t="shared" si="28"/>
        <v>2.4</v>
      </c>
      <c r="H173" s="1">
        <f t="shared" si="34"/>
        <v>3</v>
      </c>
      <c r="I173" t="str">
        <f t="shared" si="36"/>
        <v>2.4.3</v>
      </c>
      <c r="J173" t="s">
        <v>98</v>
      </c>
      <c r="L173" s="1">
        <f t="shared" si="35"/>
        <v>6</v>
      </c>
      <c r="M173" s="1" t="str">
        <f t="shared" si="29"/>
        <v>2.4</v>
      </c>
      <c r="N173">
        <f t="shared" si="32"/>
        <v>0</v>
      </c>
      <c r="P173" s="13">
        <f t="shared" si="30"/>
        <v>7.6363636363636367</v>
      </c>
      <c r="R173">
        <v>10</v>
      </c>
      <c r="S173">
        <v>9</v>
      </c>
      <c r="T173">
        <v>9</v>
      </c>
      <c r="U173">
        <v>8</v>
      </c>
      <c r="V173">
        <v>6</v>
      </c>
      <c r="W173">
        <v>6</v>
      </c>
      <c r="X173">
        <v>6</v>
      </c>
      <c r="Y173">
        <v>10</v>
      </c>
      <c r="Z173">
        <v>4</v>
      </c>
      <c r="AA173">
        <v>8</v>
      </c>
    </row>
    <row r="174" spans="1:27" x14ac:dyDescent="0.25">
      <c r="A174">
        <f t="shared" si="33"/>
        <v>172</v>
      </c>
      <c r="B174" t="str">
        <f t="shared" si="31"/>
        <v>2d4</v>
      </c>
      <c r="D174" s="10">
        <v>8</v>
      </c>
      <c r="E174">
        <f t="shared" si="27"/>
        <v>168</v>
      </c>
      <c r="F174">
        <f t="shared" si="26"/>
        <v>5</v>
      </c>
      <c r="G174" s="1" t="str">
        <f t="shared" si="28"/>
        <v>2.4</v>
      </c>
      <c r="H174" s="1">
        <f t="shared" si="34"/>
        <v>3</v>
      </c>
      <c r="I174" t="str">
        <f t="shared" si="36"/>
        <v>2.4.4</v>
      </c>
      <c r="J174" t="s">
        <v>99</v>
      </c>
      <c r="L174" s="1">
        <f t="shared" si="35"/>
        <v>6</v>
      </c>
      <c r="M174" s="1" t="str">
        <f t="shared" si="29"/>
        <v>2.4</v>
      </c>
      <c r="N174">
        <f t="shared" si="32"/>
        <v>0</v>
      </c>
      <c r="P174" s="13">
        <f t="shared" si="30"/>
        <v>7.8181818181818183</v>
      </c>
      <c r="R174">
        <v>8</v>
      </c>
      <c r="S174">
        <v>8</v>
      </c>
      <c r="T174">
        <v>10</v>
      </c>
      <c r="U174">
        <v>7</v>
      </c>
      <c r="V174">
        <v>8</v>
      </c>
      <c r="W174">
        <v>9</v>
      </c>
      <c r="X174">
        <v>8</v>
      </c>
      <c r="Y174">
        <v>7</v>
      </c>
      <c r="Z174">
        <v>6</v>
      </c>
      <c r="AA174">
        <v>7</v>
      </c>
    </row>
    <row r="175" spans="1:27" x14ac:dyDescent="0.25">
      <c r="A175">
        <f t="shared" si="33"/>
        <v>173</v>
      </c>
      <c r="B175" t="str">
        <f t="shared" si="31"/>
        <v>2d5</v>
      </c>
      <c r="D175" s="10">
        <v>7</v>
      </c>
      <c r="E175">
        <f t="shared" si="27"/>
        <v>168</v>
      </c>
      <c r="F175">
        <f t="shared" si="26"/>
        <v>5</v>
      </c>
      <c r="G175" s="1" t="str">
        <f t="shared" si="28"/>
        <v>2.4</v>
      </c>
      <c r="H175" s="1">
        <f t="shared" si="34"/>
        <v>3</v>
      </c>
      <c r="I175" t="str">
        <f t="shared" si="36"/>
        <v>2.4.5</v>
      </c>
      <c r="J175" t="s">
        <v>100</v>
      </c>
      <c r="L175" s="1">
        <f t="shared" si="35"/>
        <v>6</v>
      </c>
      <c r="M175" s="1" t="str">
        <f t="shared" si="29"/>
        <v>2.4</v>
      </c>
      <c r="N175">
        <f t="shared" si="32"/>
        <v>0</v>
      </c>
      <c r="P175" s="13">
        <f t="shared" si="30"/>
        <v>6.7272727272727275</v>
      </c>
      <c r="R175">
        <v>7</v>
      </c>
      <c r="S175">
        <v>4</v>
      </c>
      <c r="T175">
        <v>10</v>
      </c>
      <c r="U175">
        <v>7</v>
      </c>
      <c r="V175">
        <v>5</v>
      </c>
      <c r="W175">
        <v>6</v>
      </c>
      <c r="X175">
        <v>7</v>
      </c>
      <c r="Y175">
        <v>7</v>
      </c>
      <c r="Z175">
        <v>8</v>
      </c>
      <c r="AA175">
        <v>6</v>
      </c>
    </row>
    <row r="176" spans="1:27" x14ac:dyDescent="0.25">
      <c r="A176">
        <f t="shared" si="33"/>
        <v>174</v>
      </c>
      <c r="B176" t="str">
        <f t="shared" si="31"/>
        <v>3</v>
      </c>
      <c r="D176" s="8">
        <v>10</v>
      </c>
      <c r="E176">
        <f t="shared" si="27"/>
        <v>0</v>
      </c>
      <c r="F176">
        <f t="shared" si="26"/>
        <v>1</v>
      </c>
      <c r="G176" s="1">
        <f t="shared" si="28"/>
        <v>0</v>
      </c>
      <c r="H176" s="1">
        <f t="shared" si="34"/>
        <v>1</v>
      </c>
      <c r="I176" t="str">
        <f t="shared" si="36"/>
        <v>3</v>
      </c>
      <c r="J176" t="s">
        <v>222</v>
      </c>
      <c r="L176" s="1">
        <f t="shared" si="35"/>
        <v>2</v>
      </c>
      <c r="M176" s="1">
        <f t="shared" si="29"/>
        <v>0</v>
      </c>
      <c r="N176">
        <f t="shared" si="32"/>
        <v>0</v>
      </c>
      <c r="P176" s="13">
        <f t="shared" si="30"/>
        <v>9</v>
      </c>
      <c r="R176">
        <v>10</v>
      </c>
      <c r="S176">
        <v>8</v>
      </c>
      <c r="T176">
        <v>8</v>
      </c>
      <c r="U176">
        <v>9</v>
      </c>
      <c r="V176">
        <v>10</v>
      </c>
      <c r="W176">
        <v>9</v>
      </c>
      <c r="X176">
        <v>10</v>
      </c>
      <c r="Y176">
        <v>9</v>
      </c>
      <c r="Z176">
        <v>6</v>
      </c>
      <c r="AA176">
        <v>10</v>
      </c>
    </row>
    <row r="177" spans="1:27" x14ac:dyDescent="0.25">
      <c r="A177">
        <f t="shared" si="33"/>
        <v>175</v>
      </c>
      <c r="B177" t="str">
        <f t="shared" si="31"/>
        <v>3a</v>
      </c>
      <c r="D177" s="9">
        <v>8</v>
      </c>
      <c r="E177">
        <f t="shared" si="27"/>
        <v>174</v>
      </c>
      <c r="F177">
        <f t="shared" si="26"/>
        <v>3</v>
      </c>
      <c r="G177" s="1" t="str">
        <f t="shared" si="28"/>
        <v>3</v>
      </c>
      <c r="H177" s="1">
        <f t="shared" si="34"/>
        <v>2</v>
      </c>
      <c r="I177" t="str">
        <f t="shared" si="36"/>
        <v>3.1</v>
      </c>
      <c r="J177" t="s">
        <v>223</v>
      </c>
      <c r="L177" s="1">
        <f t="shared" si="35"/>
        <v>4</v>
      </c>
      <c r="M177" s="1" t="str">
        <f t="shared" si="29"/>
        <v>3</v>
      </c>
      <c r="N177">
        <f t="shared" si="32"/>
        <v>0</v>
      </c>
      <c r="P177" s="13">
        <f t="shared" si="30"/>
        <v>8.545454545454545</v>
      </c>
      <c r="R177">
        <v>10</v>
      </c>
      <c r="S177">
        <v>10</v>
      </c>
      <c r="T177">
        <v>8</v>
      </c>
      <c r="U177">
        <v>7</v>
      </c>
      <c r="V177">
        <v>10</v>
      </c>
      <c r="W177">
        <v>9</v>
      </c>
      <c r="X177">
        <v>8</v>
      </c>
      <c r="Y177">
        <v>8</v>
      </c>
      <c r="Z177">
        <v>9</v>
      </c>
      <c r="AA177">
        <v>7</v>
      </c>
    </row>
    <row r="178" spans="1:27" x14ac:dyDescent="0.25">
      <c r="A178">
        <f t="shared" si="33"/>
        <v>176</v>
      </c>
      <c r="B178" t="str">
        <f t="shared" si="31"/>
        <v>3a1</v>
      </c>
      <c r="D178" s="10">
        <v>8</v>
      </c>
      <c r="E178">
        <f t="shared" si="27"/>
        <v>175</v>
      </c>
      <c r="F178">
        <f t="shared" si="26"/>
        <v>5</v>
      </c>
      <c r="G178" s="1" t="str">
        <f t="shared" si="28"/>
        <v>3.1</v>
      </c>
      <c r="H178" s="1">
        <f t="shared" si="34"/>
        <v>3</v>
      </c>
      <c r="I178" t="str">
        <f t="shared" si="36"/>
        <v>3.1.1</v>
      </c>
      <c r="J178" t="s">
        <v>49</v>
      </c>
      <c r="L178" s="1">
        <f t="shared" si="35"/>
        <v>6</v>
      </c>
      <c r="M178" s="1" t="str">
        <f t="shared" si="29"/>
        <v>3.1</v>
      </c>
      <c r="N178">
        <f t="shared" si="32"/>
        <v>0</v>
      </c>
      <c r="P178" s="13">
        <f t="shared" si="30"/>
        <v>7.9090909090909092</v>
      </c>
      <c r="R178">
        <v>6</v>
      </c>
      <c r="S178">
        <v>8</v>
      </c>
      <c r="T178">
        <v>7</v>
      </c>
      <c r="U178">
        <v>9</v>
      </c>
      <c r="V178">
        <v>7</v>
      </c>
      <c r="W178">
        <v>9</v>
      </c>
      <c r="X178">
        <v>9</v>
      </c>
      <c r="Y178">
        <v>7</v>
      </c>
      <c r="Z178">
        <v>10</v>
      </c>
      <c r="AA178">
        <v>7</v>
      </c>
    </row>
    <row r="179" spans="1:27" x14ac:dyDescent="0.25">
      <c r="A179">
        <f t="shared" si="33"/>
        <v>177</v>
      </c>
      <c r="B179" t="str">
        <f t="shared" si="31"/>
        <v>3a2</v>
      </c>
      <c r="D179" s="10">
        <v>9</v>
      </c>
      <c r="E179">
        <f t="shared" si="27"/>
        <v>175</v>
      </c>
      <c r="F179">
        <f t="shared" si="26"/>
        <v>5</v>
      </c>
      <c r="G179" s="1" t="str">
        <f t="shared" si="28"/>
        <v>3.1</v>
      </c>
      <c r="H179" s="1">
        <f t="shared" si="34"/>
        <v>3</v>
      </c>
      <c r="I179" t="str">
        <f t="shared" si="36"/>
        <v>3.1.2</v>
      </c>
      <c r="J179" t="s">
        <v>89</v>
      </c>
      <c r="L179" s="1">
        <f t="shared" si="35"/>
        <v>6</v>
      </c>
      <c r="M179" s="1" t="str">
        <f t="shared" si="29"/>
        <v>3.1</v>
      </c>
      <c r="N179">
        <f t="shared" si="32"/>
        <v>0</v>
      </c>
      <c r="P179" s="13">
        <f t="shared" si="30"/>
        <v>9</v>
      </c>
      <c r="R179">
        <v>8</v>
      </c>
      <c r="S179">
        <v>7</v>
      </c>
      <c r="T179">
        <v>9</v>
      </c>
      <c r="U179">
        <v>8</v>
      </c>
      <c r="V179">
        <v>10</v>
      </c>
      <c r="W179">
        <v>10</v>
      </c>
      <c r="X179">
        <v>9</v>
      </c>
      <c r="Y179">
        <v>10</v>
      </c>
      <c r="Z179">
        <v>10</v>
      </c>
      <c r="AA179">
        <v>9</v>
      </c>
    </row>
    <row r="180" spans="1:27" x14ac:dyDescent="0.25">
      <c r="A180">
        <f t="shared" si="33"/>
        <v>178</v>
      </c>
      <c r="B180" t="str">
        <f t="shared" si="31"/>
        <v>3a3</v>
      </c>
      <c r="D180" s="10">
        <v>6</v>
      </c>
      <c r="E180">
        <f t="shared" si="27"/>
        <v>175</v>
      </c>
      <c r="F180">
        <f t="shared" si="26"/>
        <v>5</v>
      </c>
      <c r="G180" s="1" t="str">
        <f t="shared" si="28"/>
        <v>3.1</v>
      </c>
      <c r="H180" s="1">
        <f t="shared" si="34"/>
        <v>3</v>
      </c>
      <c r="I180" t="str">
        <f t="shared" si="36"/>
        <v>3.1.3</v>
      </c>
      <c r="J180" t="s">
        <v>90</v>
      </c>
      <c r="L180" s="1">
        <f t="shared" si="35"/>
        <v>6</v>
      </c>
      <c r="M180" s="1" t="str">
        <f t="shared" si="29"/>
        <v>3.1</v>
      </c>
      <c r="N180">
        <f t="shared" si="32"/>
        <v>0</v>
      </c>
      <c r="P180" s="13">
        <f t="shared" si="30"/>
        <v>6</v>
      </c>
      <c r="R180">
        <v>7</v>
      </c>
      <c r="S180">
        <v>7</v>
      </c>
      <c r="T180">
        <v>7</v>
      </c>
      <c r="U180">
        <v>5</v>
      </c>
      <c r="V180">
        <v>1</v>
      </c>
      <c r="W180">
        <v>5</v>
      </c>
      <c r="X180">
        <v>6</v>
      </c>
      <c r="Y180">
        <v>4</v>
      </c>
      <c r="Z180">
        <v>10</v>
      </c>
      <c r="AA180">
        <v>8</v>
      </c>
    </row>
    <row r="181" spans="1:27" x14ac:dyDescent="0.25">
      <c r="A181">
        <f t="shared" si="33"/>
        <v>179</v>
      </c>
      <c r="B181" t="str">
        <f t="shared" si="31"/>
        <v>3a4</v>
      </c>
      <c r="D181" s="10">
        <v>6</v>
      </c>
      <c r="E181">
        <f t="shared" si="27"/>
        <v>175</v>
      </c>
      <c r="F181">
        <f t="shared" si="26"/>
        <v>5</v>
      </c>
      <c r="G181" s="1" t="str">
        <f t="shared" si="28"/>
        <v>3.1</v>
      </c>
      <c r="H181" s="1">
        <f t="shared" si="34"/>
        <v>3</v>
      </c>
      <c r="I181" t="str">
        <f t="shared" si="36"/>
        <v>3.1.4</v>
      </c>
      <c r="J181" t="s">
        <v>91</v>
      </c>
      <c r="L181" s="1">
        <f t="shared" si="35"/>
        <v>6</v>
      </c>
      <c r="M181" s="1" t="str">
        <f t="shared" si="29"/>
        <v>3.1</v>
      </c>
      <c r="N181">
        <f t="shared" si="32"/>
        <v>0</v>
      </c>
      <c r="P181" s="13">
        <f t="shared" si="30"/>
        <v>5.0909090909090908</v>
      </c>
      <c r="R181">
        <v>7</v>
      </c>
      <c r="S181">
        <v>7</v>
      </c>
      <c r="T181">
        <v>4</v>
      </c>
      <c r="U181">
        <v>6</v>
      </c>
      <c r="V181">
        <v>4</v>
      </c>
      <c r="W181">
        <v>6</v>
      </c>
      <c r="X181">
        <v>6</v>
      </c>
      <c r="Y181">
        <v>6</v>
      </c>
      <c r="Z181">
        <v>0</v>
      </c>
      <c r="AA181">
        <v>4</v>
      </c>
    </row>
    <row r="182" spans="1:27" x14ac:dyDescent="0.25">
      <c r="A182">
        <f t="shared" si="33"/>
        <v>180</v>
      </c>
      <c r="B182" t="str">
        <f t="shared" si="31"/>
        <v>3a5</v>
      </c>
      <c r="D182" s="10">
        <v>10</v>
      </c>
      <c r="E182">
        <f t="shared" si="27"/>
        <v>175</v>
      </c>
      <c r="F182">
        <f t="shared" si="26"/>
        <v>5</v>
      </c>
      <c r="G182" s="1" t="str">
        <f t="shared" si="28"/>
        <v>3.1</v>
      </c>
      <c r="H182" s="1">
        <f t="shared" si="34"/>
        <v>3</v>
      </c>
      <c r="I182" t="str">
        <f t="shared" si="36"/>
        <v>3.1.5</v>
      </c>
      <c r="J182" t="s">
        <v>92</v>
      </c>
      <c r="L182" s="1">
        <f t="shared" si="35"/>
        <v>6</v>
      </c>
      <c r="M182" s="1" t="str">
        <f t="shared" si="29"/>
        <v>3.1</v>
      </c>
      <c r="N182">
        <f t="shared" si="32"/>
        <v>0</v>
      </c>
      <c r="P182" s="13">
        <f t="shared" si="30"/>
        <v>10</v>
      </c>
      <c r="R182">
        <v>10</v>
      </c>
      <c r="S182">
        <v>10</v>
      </c>
      <c r="T182">
        <v>10</v>
      </c>
      <c r="U182">
        <v>10</v>
      </c>
      <c r="V182">
        <v>10</v>
      </c>
      <c r="W182">
        <v>10</v>
      </c>
      <c r="X182">
        <v>10</v>
      </c>
      <c r="Y182">
        <v>10</v>
      </c>
      <c r="Z182">
        <v>10</v>
      </c>
      <c r="AA182">
        <v>10</v>
      </c>
    </row>
    <row r="183" spans="1:27" x14ac:dyDescent="0.25">
      <c r="A183">
        <f t="shared" si="33"/>
        <v>181</v>
      </c>
      <c r="B183" t="str">
        <f t="shared" si="31"/>
        <v>3a6</v>
      </c>
      <c r="D183" s="10">
        <v>10</v>
      </c>
      <c r="E183">
        <f t="shared" si="27"/>
        <v>175</v>
      </c>
      <c r="F183">
        <f t="shared" si="26"/>
        <v>5</v>
      </c>
      <c r="G183" s="1" t="str">
        <f t="shared" si="28"/>
        <v>3.1</v>
      </c>
      <c r="H183" s="1">
        <f t="shared" si="34"/>
        <v>3</v>
      </c>
      <c r="I183" t="str">
        <f t="shared" si="36"/>
        <v>3.1.6</v>
      </c>
      <c r="J183" t="s">
        <v>93</v>
      </c>
      <c r="L183" s="1">
        <f t="shared" si="35"/>
        <v>6</v>
      </c>
      <c r="M183" s="1" t="str">
        <f t="shared" si="29"/>
        <v>3.1</v>
      </c>
      <c r="N183">
        <f t="shared" si="32"/>
        <v>0</v>
      </c>
      <c r="P183" s="13">
        <f t="shared" si="30"/>
        <v>9.6363636363636367</v>
      </c>
      <c r="R183">
        <v>9</v>
      </c>
      <c r="S183">
        <v>10</v>
      </c>
      <c r="T183">
        <v>8</v>
      </c>
      <c r="U183">
        <v>10</v>
      </c>
      <c r="V183">
        <v>10</v>
      </c>
      <c r="W183">
        <v>9</v>
      </c>
      <c r="X183">
        <v>10</v>
      </c>
      <c r="Y183">
        <v>10</v>
      </c>
      <c r="Z183">
        <v>10</v>
      </c>
      <c r="AA183">
        <v>10</v>
      </c>
    </row>
    <row r="184" spans="1:27" x14ac:dyDescent="0.25">
      <c r="A184">
        <f t="shared" si="33"/>
        <v>182</v>
      </c>
      <c r="B184" t="str">
        <f t="shared" si="31"/>
        <v>3a7</v>
      </c>
      <c r="D184" s="10">
        <v>9</v>
      </c>
      <c r="E184">
        <f t="shared" si="27"/>
        <v>175</v>
      </c>
      <c r="F184">
        <f t="shared" si="26"/>
        <v>5</v>
      </c>
      <c r="G184" s="1" t="str">
        <f t="shared" si="28"/>
        <v>3.1</v>
      </c>
      <c r="H184" s="1">
        <f t="shared" si="34"/>
        <v>3</v>
      </c>
      <c r="I184" t="str">
        <f t="shared" si="36"/>
        <v>3.1.7</v>
      </c>
      <c r="J184" t="s">
        <v>94</v>
      </c>
      <c r="L184" s="1">
        <f t="shared" si="35"/>
        <v>6</v>
      </c>
      <c r="M184" s="1" t="str">
        <f t="shared" si="29"/>
        <v>3.1</v>
      </c>
      <c r="N184">
        <f t="shared" si="32"/>
        <v>0</v>
      </c>
      <c r="P184" s="13">
        <f t="shared" si="30"/>
        <v>8.7272727272727266</v>
      </c>
      <c r="R184">
        <v>8</v>
      </c>
      <c r="S184">
        <v>10</v>
      </c>
      <c r="T184">
        <v>9</v>
      </c>
      <c r="U184">
        <v>8</v>
      </c>
      <c r="V184">
        <v>9</v>
      </c>
      <c r="W184">
        <v>9</v>
      </c>
      <c r="X184">
        <v>8</v>
      </c>
      <c r="Y184">
        <v>10</v>
      </c>
      <c r="Z184">
        <v>7</v>
      </c>
      <c r="AA184">
        <v>9</v>
      </c>
    </row>
    <row r="185" spans="1:27" x14ac:dyDescent="0.25">
      <c r="A185">
        <f t="shared" si="33"/>
        <v>183</v>
      </c>
      <c r="B185" t="str">
        <f t="shared" si="31"/>
        <v>3a8</v>
      </c>
      <c r="D185" s="10">
        <v>6</v>
      </c>
      <c r="E185">
        <f t="shared" si="27"/>
        <v>175</v>
      </c>
      <c r="F185">
        <f t="shared" si="26"/>
        <v>5</v>
      </c>
      <c r="G185" s="1" t="str">
        <f t="shared" si="28"/>
        <v>3.1</v>
      </c>
      <c r="H185" s="1">
        <f t="shared" si="34"/>
        <v>3</v>
      </c>
      <c r="I185" t="str">
        <f t="shared" si="36"/>
        <v>3.1.8</v>
      </c>
      <c r="J185" t="s">
        <v>224</v>
      </c>
      <c r="L185" s="1">
        <f t="shared" si="35"/>
        <v>6</v>
      </c>
      <c r="M185" s="1" t="str">
        <f t="shared" si="29"/>
        <v>3.1</v>
      </c>
      <c r="N185">
        <f t="shared" si="32"/>
        <v>0</v>
      </c>
      <c r="P185" s="13">
        <f t="shared" si="30"/>
        <v>6.2727272727272725</v>
      </c>
      <c r="R185">
        <v>4</v>
      </c>
      <c r="S185">
        <v>5</v>
      </c>
      <c r="T185">
        <v>5</v>
      </c>
      <c r="U185">
        <v>7</v>
      </c>
      <c r="V185">
        <v>10</v>
      </c>
      <c r="W185">
        <v>6</v>
      </c>
      <c r="X185">
        <v>5</v>
      </c>
      <c r="Y185">
        <v>5</v>
      </c>
      <c r="Z185">
        <v>10</v>
      </c>
      <c r="AA185">
        <v>6</v>
      </c>
    </row>
    <row r="186" spans="1:27" x14ac:dyDescent="0.25">
      <c r="A186">
        <f t="shared" si="33"/>
        <v>184</v>
      </c>
      <c r="B186" t="str">
        <f t="shared" si="31"/>
        <v>3b</v>
      </c>
      <c r="D186" s="9">
        <v>7</v>
      </c>
      <c r="E186">
        <f t="shared" si="27"/>
        <v>174</v>
      </c>
      <c r="F186">
        <f t="shared" si="26"/>
        <v>3</v>
      </c>
      <c r="G186" s="1" t="str">
        <f t="shared" si="28"/>
        <v>3</v>
      </c>
      <c r="H186" s="1">
        <f t="shared" si="34"/>
        <v>2</v>
      </c>
      <c r="I186" t="str">
        <f t="shared" si="36"/>
        <v>3.2</v>
      </c>
      <c r="J186" t="s">
        <v>225</v>
      </c>
      <c r="L186" s="1">
        <f t="shared" si="35"/>
        <v>4</v>
      </c>
      <c r="M186" s="1" t="str">
        <f t="shared" si="29"/>
        <v>3</v>
      </c>
      <c r="N186">
        <f t="shared" si="32"/>
        <v>0</v>
      </c>
      <c r="P186" s="13">
        <f t="shared" si="30"/>
        <v>7.7272727272727275</v>
      </c>
      <c r="R186">
        <v>6</v>
      </c>
      <c r="S186">
        <v>8</v>
      </c>
      <c r="T186">
        <v>5</v>
      </c>
      <c r="U186">
        <v>7</v>
      </c>
      <c r="V186">
        <v>10</v>
      </c>
      <c r="W186">
        <v>8</v>
      </c>
      <c r="X186">
        <v>7</v>
      </c>
      <c r="Y186">
        <v>9</v>
      </c>
      <c r="Z186">
        <v>9</v>
      </c>
      <c r="AA186">
        <v>9</v>
      </c>
    </row>
    <row r="187" spans="1:27" x14ac:dyDescent="0.25">
      <c r="A187">
        <f t="shared" si="33"/>
        <v>185</v>
      </c>
      <c r="B187" t="str">
        <f t="shared" si="31"/>
        <v>3b1</v>
      </c>
      <c r="D187" s="10">
        <v>10</v>
      </c>
      <c r="E187">
        <f t="shared" si="27"/>
        <v>184</v>
      </c>
      <c r="F187">
        <f t="shared" si="26"/>
        <v>5</v>
      </c>
      <c r="G187" s="1" t="str">
        <f t="shared" si="28"/>
        <v>3.2</v>
      </c>
      <c r="H187" s="1">
        <f t="shared" si="34"/>
        <v>3</v>
      </c>
      <c r="I187" t="str">
        <f t="shared" si="36"/>
        <v>3.2.1</v>
      </c>
      <c r="J187" t="s">
        <v>226</v>
      </c>
      <c r="L187" s="1">
        <f t="shared" si="35"/>
        <v>6</v>
      </c>
      <c r="M187" s="1" t="str">
        <f t="shared" si="29"/>
        <v>3.2</v>
      </c>
      <c r="N187">
        <f t="shared" si="32"/>
        <v>0</v>
      </c>
      <c r="P187" s="13">
        <f t="shared" si="30"/>
        <v>9.454545454545455</v>
      </c>
      <c r="R187">
        <v>10</v>
      </c>
      <c r="S187">
        <v>10</v>
      </c>
      <c r="T187">
        <v>8</v>
      </c>
      <c r="U187">
        <v>10</v>
      </c>
      <c r="V187">
        <v>8</v>
      </c>
      <c r="W187">
        <v>8</v>
      </c>
      <c r="X187">
        <v>10</v>
      </c>
      <c r="Y187">
        <v>10</v>
      </c>
      <c r="Z187">
        <v>10</v>
      </c>
      <c r="AA187">
        <v>10</v>
      </c>
    </row>
    <row r="188" spans="1:27" x14ac:dyDescent="0.25">
      <c r="A188">
        <f t="shared" si="33"/>
        <v>186</v>
      </c>
      <c r="B188" t="str">
        <f t="shared" si="31"/>
        <v>3b1a</v>
      </c>
      <c r="D188" s="3">
        <v>10</v>
      </c>
      <c r="E188">
        <f t="shared" si="27"/>
        <v>185</v>
      </c>
      <c r="F188">
        <f t="shared" si="26"/>
        <v>7</v>
      </c>
      <c r="G188" s="1" t="str">
        <f t="shared" si="28"/>
        <v>3.2.1</v>
      </c>
      <c r="H188" s="1">
        <f t="shared" si="34"/>
        <v>4</v>
      </c>
      <c r="I188" t="str">
        <f t="shared" si="36"/>
        <v>3.2.1.1</v>
      </c>
      <c r="J188" t="s">
        <v>227</v>
      </c>
      <c r="L188" s="1">
        <f t="shared" si="35"/>
        <v>8</v>
      </c>
      <c r="M188" s="1" t="str">
        <f t="shared" si="29"/>
        <v>3.2.1</v>
      </c>
      <c r="N188">
        <f t="shared" si="32"/>
        <v>0</v>
      </c>
      <c r="P188" s="13">
        <f t="shared" si="30"/>
        <v>9.3636363636363633</v>
      </c>
      <c r="R188">
        <v>10</v>
      </c>
      <c r="S188">
        <v>10</v>
      </c>
      <c r="T188">
        <v>8</v>
      </c>
      <c r="U188">
        <v>10</v>
      </c>
      <c r="V188">
        <v>10</v>
      </c>
      <c r="W188">
        <v>10</v>
      </c>
      <c r="X188">
        <v>10</v>
      </c>
      <c r="Y188">
        <v>10</v>
      </c>
      <c r="Z188">
        <v>6</v>
      </c>
      <c r="AA188">
        <v>9</v>
      </c>
    </row>
    <row r="189" spans="1:27" x14ac:dyDescent="0.25">
      <c r="A189">
        <f t="shared" si="33"/>
        <v>187</v>
      </c>
      <c r="B189" t="str">
        <f t="shared" si="31"/>
        <v>3b1b</v>
      </c>
      <c r="D189" s="3">
        <v>9</v>
      </c>
      <c r="E189">
        <f t="shared" si="27"/>
        <v>185</v>
      </c>
      <c r="F189">
        <f t="shared" si="26"/>
        <v>7</v>
      </c>
      <c r="G189" s="1" t="str">
        <f t="shared" si="28"/>
        <v>3.2.1</v>
      </c>
      <c r="H189" s="1">
        <f t="shared" si="34"/>
        <v>4</v>
      </c>
      <c r="I189" t="str">
        <f t="shared" si="36"/>
        <v>3.2.1.2</v>
      </c>
      <c r="J189" t="s">
        <v>228</v>
      </c>
      <c r="L189" s="1">
        <f t="shared" si="35"/>
        <v>8</v>
      </c>
      <c r="M189" s="1" t="str">
        <f t="shared" si="29"/>
        <v>3.2.1</v>
      </c>
      <c r="N189">
        <f t="shared" si="32"/>
        <v>0</v>
      </c>
      <c r="P189" s="13">
        <f t="shared" si="30"/>
        <v>9.1818181818181817</v>
      </c>
      <c r="R189">
        <v>9</v>
      </c>
      <c r="S189">
        <v>10</v>
      </c>
      <c r="T189">
        <v>8</v>
      </c>
      <c r="U189">
        <v>10</v>
      </c>
      <c r="V189">
        <v>8</v>
      </c>
      <c r="W189">
        <v>10</v>
      </c>
      <c r="X189">
        <v>9</v>
      </c>
      <c r="Y189">
        <v>9</v>
      </c>
      <c r="Z189">
        <v>10</v>
      </c>
      <c r="AA189">
        <v>9</v>
      </c>
    </row>
    <row r="190" spans="1:27" x14ac:dyDescent="0.25">
      <c r="A190">
        <f t="shared" si="33"/>
        <v>188</v>
      </c>
      <c r="B190" t="str">
        <f t="shared" si="31"/>
        <v>3b1c</v>
      </c>
      <c r="D190" s="3">
        <v>8</v>
      </c>
      <c r="E190">
        <f t="shared" si="27"/>
        <v>185</v>
      </c>
      <c r="F190">
        <f t="shared" si="26"/>
        <v>7</v>
      </c>
      <c r="G190" s="1" t="str">
        <f t="shared" si="28"/>
        <v>3.2.1</v>
      </c>
      <c r="H190" s="1">
        <f t="shared" si="34"/>
        <v>4</v>
      </c>
      <c r="I190" t="str">
        <f t="shared" si="36"/>
        <v>3.2.1.3</v>
      </c>
      <c r="J190" t="s">
        <v>229</v>
      </c>
      <c r="L190" s="1">
        <f t="shared" si="35"/>
        <v>8</v>
      </c>
      <c r="M190" s="1" t="str">
        <f t="shared" si="29"/>
        <v>3.2.1</v>
      </c>
      <c r="N190">
        <f t="shared" si="32"/>
        <v>0</v>
      </c>
      <c r="P190" s="13">
        <f t="shared" si="30"/>
        <v>7.6363636363636367</v>
      </c>
      <c r="R190">
        <v>7</v>
      </c>
      <c r="S190">
        <v>6</v>
      </c>
      <c r="T190">
        <v>7</v>
      </c>
      <c r="U190">
        <v>6</v>
      </c>
      <c r="V190">
        <v>10</v>
      </c>
      <c r="W190">
        <v>8</v>
      </c>
      <c r="X190">
        <v>8</v>
      </c>
      <c r="Y190">
        <v>8</v>
      </c>
      <c r="Z190">
        <v>8</v>
      </c>
      <c r="AA190">
        <v>8</v>
      </c>
    </row>
    <row r="191" spans="1:27" x14ac:dyDescent="0.25">
      <c r="A191">
        <f t="shared" si="33"/>
        <v>189</v>
      </c>
      <c r="B191" t="str">
        <f t="shared" si="31"/>
        <v>3b1d</v>
      </c>
      <c r="D191" s="3">
        <v>8</v>
      </c>
      <c r="E191">
        <f t="shared" si="27"/>
        <v>185</v>
      </c>
      <c r="F191">
        <f t="shared" si="26"/>
        <v>7</v>
      </c>
      <c r="G191" s="1" t="str">
        <f t="shared" si="28"/>
        <v>3.2.1</v>
      </c>
      <c r="H191" s="1">
        <f t="shared" si="34"/>
        <v>4</v>
      </c>
      <c r="I191" t="str">
        <f t="shared" si="36"/>
        <v>3.2.1.4</v>
      </c>
      <c r="J191" t="s">
        <v>230</v>
      </c>
      <c r="L191" s="1">
        <f t="shared" si="35"/>
        <v>8</v>
      </c>
      <c r="M191" s="1" t="str">
        <f t="shared" si="29"/>
        <v>3.2.1</v>
      </c>
      <c r="N191">
        <f t="shared" si="32"/>
        <v>0</v>
      </c>
      <c r="P191" s="13">
        <f t="shared" si="30"/>
        <v>8.1818181818181817</v>
      </c>
      <c r="R191">
        <v>7</v>
      </c>
      <c r="S191">
        <v>9</v>
      </c>
      <c r="T191">
        <v>5</v>
      </c>
      <c r="U191">
        <v>7</v>
      </c>
      <c r="V191">
        <v>8</v>
      </c>
      <c r="W191">
        <v>10</v>
      </c>
      <c r="X191">
        <v>9</v>
      </c>
      <c r="Y191">
        <v>8</v>
      </c>
      <c r="Z191">
        <v>10</v>
      </c>
      <c r="AA191">
        <v>9</v>
      </c>
    </row>
    <row r="192" spans="1:27" x14ac:dyDescent="0.25">
      <c r="A192">
        <f t="shared" si="33"/>
        <v>190</v>
      </c>
      <c r="B192" t="str">
        <f t="shared" si="31"/>
        <v>3b1e</v>
      </c>
      <c r="D192" s="3">
        <v>7</v>
      </c>
      <c r="E192">
        <f t="shared" si="27"/>
        <v>185</v>
      </c>
      <c r="F192">
        <f t="shared" si="26"/>
        <v>7</v>
      </c>
      <c r="G192" s="1" t="str">
        <f t="shared" si="28"/>
        <v>3.2.1</v>
      </c>
      <c r="H192" s="1">
        <f t="shared" si="34"/>
        <v>4</v>
      </c>
      <c r="I192" t="str">
        <f t="shared" si="36"/>
        <v>3.2.1.5</v>
      </c>
      <c r="J192" t="s">
        <v>231</v>
      </c>
      <c r="L192" s="1">
        <f t="shared" si="35"/>
        <v>8</v>
      </c>
      <c r="M192" s="1" t="str">
        <f t="shared" si="29"/>
        <v>3.2.1</v>
      </c>
      <c r="N192">
        <f t="shared" si="32"/>
        <v>0</v>
      </c>
      <c r="P192" s="13">
        <f t="shared" si="30"/>
        <v>7.6363636363636367</v>
      </c>
      <c r="R192">
        <v>10</v>
      </c>
      <c r="S192">
        <v>6</v>
      </c>
      <c r="T192">
        <v>9</v>
      </c>
      <c r="U192">
        <v>6</v>
      </c>
      <c r="V192">
        <v>9</v>
      </c>
      <c r="W192">
        <v>8</v>
      </c>
      <c r="X192">
        <v>7</v>
      </c>
      <c r="Y192">
        <v>7</v>
      </c>
      <c r="Z192">
        <v>7</v>
      </c>
      <c r="AA192">
        <v>8</v>
      </c>
    </row>
    <row r="193" spans="1:27" x14ac:dyDescent="0.25">
      <c r="A193">
        <f t="shared" si="33"/>
        <v>191</v>
      </c>
      <c r="B193" t="str">
        <f t="shared" si="31"/>
        <v>3b2</v>
      </c>
      <c r="D193" s="10">
        <v>10</v>
      </c>
      <c r="E193">
        <f t="shared" si="27"/>
        <v>184</v>
      </c>
      <c r="F193">
        <f t="shared" si="26"/>
        <v>5</v>
      </c>
      <c r="G193" s="1" t="str">
        <f t="shared" si="28"/>
        <v>3.2</v>
      </c>
      <c r="H193" s="1">
        <f t="shared" si="34"/>
        <v>3</v>
      </c>
      <c r="I193" t="str">
        <f t="shared" si="36"/>
        <v>3.2.2</v>
      </c>
      <c r="J193" t="s">
        <v>232</v>
      </c>
      <c r="L193" s="1">
        <f t="shared" si="35"/>
        <v>6</v>
      </c>
      <c r="M193" s="1" t="str">
        <f t="shared" si="29"/>
        <v>3.2</v>
      </c>
      <c r="N193">
        <f t="shared" si="32"/>
        <v>0</v>
      </c>
      <c r="P193" s="13">
        <f t="shared" si="30"/>
        <v>9.454545454545455</v>
      </c>
      <c r="R193">
        <v>10</v>
      </c>
      <c r="S193">
        <v>8</v>
      </c>
      <c r="T193">
        <v>10</v>
      </c>
      <c r="U193">
        <v>10</v>
      </c>
      <c r="V193">
        <v>8</v>
      </c>
      <c r="W193">
        <v>10</v>
      </c>
      <c r="X193">
        <v>9</v>
      </c>
      <c r="Y193">
        <v>9</v>
      </c>
      <c r="Z193">
        <v>10</v>
      </c>
      <c r="AA193">
        <v>10</v>
      </c>
    </row>
    <row r="194" spans="1:27" x14ac:dyDescent="0.25">
      <c r="A194">
        <f t="shared" si="33"/>
        <v>192</v>
      </c>
      <c r="B194" t="str">
        <f t="shared" si="31"/>
        <v>3b2a</v>
      </c>
      <c r="D194" s="3">
        <v>9</v>
      </c>
      <c r="E194">
        <f t="shared" si="27"/>
        <v>191</v>
      </c>
      <c r="F194">
        <f t="shared" ref="F194:F257" si="37">LEN(I194)</f>
        <v>7</v>
      </c>
      <c r="G194" s="1" t="str">
        <f t="shared" si="28"/>
        <v>3.2.2</v>
      </c>
      <c r="H194" s="1">
        <f t="shared" si="34"/>
        <v>4</v>
      </c>
      <c r="I194" t="str">
        <f t="shared" si="36"/>
        <v>3.2.2.1</v>
      </c>
      <c r="J194" t="s">
        <v>233</v>
      </c>
      <c r="L194" s="1">
        <f t="shared" si="35"/>
        <v>8</v>
      </c>
      <c r="M194" s="1" t="str">
        <f t="shared" si="29"/>
        <v>3.2.2</v>
      </c>
      <c r="N194">
        <f t="shared" si="32"/>
        <v>0</v>
      </c>
      <c r="P194" s="13">
        <f t="shared" si="30"/>
        <v>8.454545454545455</v>
      </c>
      <c r="R194">
        <v>9</v>
      </c>
      <c r="S194">
        <v>9</v>
      </c>
      <c r="T194">
        <v>6</v>
      </c>
      <c r="U194">
        <v>8</v>
      </c>
      <c r="V194">
        <v>10</v>
      </c>
      <c r="W194">
        <v>8</v>
      </c>
      <c r="X194">
        <v>8</v>
      </c>
      <c r="Y194">
        <v>10</v>
      </c>
      <c r="Z194">
        <v>8</v>
      </c>
      <c r="AA194">
        <v>8</v>
      </c>
    </row>
    <row r="195" spans="1:27" x14ac:dyDescent="0.25">
      <c r="A195">
        <f t="shared" si="33"/>
        <v>193</v>
      </c>
      <c r="B195" t="str">
        <f t="shared" si="31"/>
        <v>3b2b</v>
      </c>
      <c r="D195" s="3">
        <v>9</v>
      </c>
      <c r="E195">
        <f t="shared" ref="E195:E258" si="38">MATCH(G195,I$2:I$306,0)-1</f>
        <v>191</v>
      </c>
      <c r="F195">
        <f t="shared" si="37"/>
        <v>7</v>
      </c>
      <c r="G195" s="1" t="str">
        <f t="shared" ref="G195:G258" si="39">IFERROR(LEFT(I195,LEN(I195)-2-N195),0)</f>
        <v>3.2.2</v>
      </c>
      <c r="H195" s="1">
        <f t="shared" si="34"/>
        <v>4</v>
      </c>
      <c r="I195" t="str">
        <f t="shared" si="36"/>
        <v>3.2.2.2</v>
      </c>
      <c r="J195" t="s">
        <v>234</v>
      </c>
      <c r="L195" s="1">
        <f t="shared" si="35"/>
        <v>8</v>
      </c>
      <c r="M195" s="1" t="str">
        <f t="shared" ref="M195:M258" si="40">IFERROR(LEFT(I195,LEN(I195)-2),0)</f>
        <v>3.2.2</v>
      </c>
      <c r="N195">
        <f t="shared" si="32"/>
        <v>0</v>
      </c>
      <c r="P195" s="13">
        <f t="shared" si="30"/>
        <v>9.3636363636363633</v>
      </c>
      <c r="R195">
        <v>10</v>
      </c>
      <c r="S195">
        <v>9</v>
      </c>
      <c r="T195">
        <v>10</v>
      </c>
      <c r="U195">
        <v>10</v>
      </c>
      <c r="V195">
        <v>7</v>
      </c>
      <c r="W195">
        <v>9</v>
      </c>
      <c r="X195">
        <v>10</v>
      </c>
      <c r="Y195">
        <v>9</v>
      </c>
      <c r="Z195">
        <v>10</v>
      </c>
      <c r="AA195">
        <v>10</v>
      </c>
    </row>
    <row r="196" spans="1:27" x14ac:dyDescent="0.25">
      <c r="A196">
        <f t="shared" si="33"/>
        <v>194</v>
      </c>
      <c r="B196" t="str">
        <f t="shared" si="31"/>
        <v>3b2b1</v>
      </c>
      <c r="D196" s="11">
        <v>9</v>
      </c>
      <c r="E196">
        <f t="shared" si="38"/>
        <v>193</v>
      </c>
      <c r="F196">
        <f t="shared" si="37"/>
        <v>9</v>
      </c>
      <c r="G196" s="1" t="str">
        <f t="shared" si="39"/>
        <v>3.2.2.2</v>
      </c>
      <c r="H196" s="1">
        <f t="shared" si="34"/>
        <v>5</v>
      </c>
      <c r="I196" t="str">
        <f t="shared" si="36"/>
        <v>3.2.2.2.1</v>
      </c>
      <c r="J196" t="s">
        <v>235</v>
      </c>
      <c r="L196" s="1">
        <f t="shared" si="35"/>
        <v>10</v>
      </c>
      <c r="M196" s="1" t="str">
        <f t="shared" si="40"/>
        <v>3.2.2.2</v>
      </c>
      <c r="N196">
        <f t="shared" si="32"/>
        <v>0</v>
      </c>
      <c r="P196" s="13">
        <f t="shared" ref="P196:P259" si="41">AVERAGE(D196,R196:AA196)</f>
        <v>8.6363636363636367</v>
      </c>
      <c r="R196">
        <v>10</v>
      </c>
      <c r="S196">
        <v>9</v>
      </c>
      <c r="T196">
        <v>9</v>
      </c>
      <c r="U196">
        <v>10</v>
      </c>
      <c r="V196">
        <v>9</v>
      </c>
      <c r="W196">
        <v>8</v>
      </c>
      <c r="X196">
        <v>8</v>
      </c>
      <c r="Y196">
        <v>9</v>
      </c>
      <c r="Z196">
        <v>4</v>
      </c>
      <c r="AA196">
        <v>10</v>
      </c>
    </row>
    <row r="197" spans="1:27" x14ac:dyDescent="0.25">
      <c r="A197">
        <f t="shared" si="33"/>
        <v>195</v>
      </c>
      <c r="B197" t="str">
        <f t="shared" si="31"/>
        <v>3b2b2</v>
      </c>
      <c r="D197" s="11">
        <v>8</v>
      </c>
      <c r="E197">
        <f t="shared" si="38"/>
        <v>193</v>
      </c>
      <c r="F197">
        <f t="shared" si="37"/>
        <v>9</v>
      </c>
      <c r="G197" s="1" t="str">
        <f t="shared" si="39"/>
        <v>3.2.2.2</v>
      </c>
      <c r="H197" s="1">
        <f t="shared" si="34"/>
        <v>5</v>
      </c>
      <c r="I197" t="str">
        <f t="shared" si="36"/>
        <v>3.2.2.2.2</v>
      </c>
      <c r="J197" t="s">
        <v>236</v>
      </c>
      <c r="L197" s="1">
        <f t="shared" si="35"/>
        <v>10</v>
      </c>
      <c r="M197" s="1" t="str">
        <f t="shared" si="40"/>
        <v>3.2.2.2</v>
      </c>
      <c r="N197">
        <f t="shared" si="32"/>
        <v>0</v>
      </c>
      <c r="P197" s="13">
        <f t="shared" si="41"/>
        <v>7.3636363636363633</v>
      </c>
      <c r="R197">
        <v>9</v>
      </c>
      <c r="S197">
        <v>7</v>
      </c>
      <c r="T197">
        <v>6</v>
      </c>
      <c r="U197">
        <v>7</v>
      </c>
      <c r="V197">
        <v>2</v>
      </c>
      <c r="W197">
        <v>8</v>
      </c>
      <c r="X197">
        <v>8</v>
      </c>
      <c r="Y197">
        <v>9</v>
      </c>
      <c r="Z197">
        <v>8</v>
      </c>
      <c r="AA197">
        <v>9</v>
      </c>
    </row>
    <row r="198" spans="1:27" x14ac:dyDescent="0.25">
      <c r="A198">
        <f t="shared" si="33"/>
        <v>196</v>
      </c>
      <c r="B198" t="str">
        <f t="shared" ref="B198:B261" si="42">Метка(I198)</f>
        <v>3b2b3</v>
      </c>
      <c r="D198" s="11">
        <v>9</v>
      </c>
      <c r="E198">
        <f t="shared" si="38"/>
        <v>193</v>
      </c>
      <c r="F198">
        <f t="shared" si="37"/>
        <v>9</v>
      </c>
      <c r="G198" s="1" t="str">
        <f t="shared" si="39"/>
        <v>3.2.2.2</v>
      </c>
      <c r="H198" s="1">
        <f t="shared" si="34"/>
        <v>5</v>
      </c>
      <c r="I198" t="str">
        <f t="shared" si="36"/>
        <v>3.2.2.2.3</v>
      </c>
      <c r="J198" t="s">
        <v>237</v>
      </c>
      <c r="L198" s="1">
        <f t="shared" si="35"/>
        <v>10</v>
      </c>
      <c r="M198" s="1" t="str">
        <f t="shared" si="40"/>
        <v>3.2.2.2</v>
      </c>
      <c r="N198">
        <f t="shared" si="32"/>
        <v>0</v>
      </c>
      <c r="P198" s="13">
        <f t="shared" si="41"/>
        <v>8.6363636363636367</v>
      </c>
      <c r="R198">
        <v>10</v>
      </c>
      <c r="S198">
        <v>10</v>
      </c>
      <c r="T198">
        <v>6</v>
      </c>
      <c r="U198">
        <v>10</v>
      </c>
      <c r="V198">
        <v>4</v>
      </c>
      <c r="W198">
        <v>9</v>
      </c>
      <c r="X198">
        <v>9</v>
      </c>
      <c r="Y198">
        <v>8</v>
      </c>
      <c r="Z198">
        <v>10</v>
      </c>
      <c r="AA198">
        <v>10</v>
      </c>
    </row>
    <row r="199" spans="1:27" x14ac:dyDescent="0.25">
      <c r="A199">
        <f t="shared" si="33"/>
        <v>197</v>
      </c>
      <c r="B199" t="str">
        <f t="shared" si="42"/>
        <v>3b2b4</v>
      </c>
      <c r="D199" s="11">
        <v>7</v>
      </c>
      <c r="E199">
        <f t="shared" si="38"/>
        <v>193</v>
      </c>
      <c r="F199">
        <f t="shared" si="37"/>
        <v>9</v>
      </c>
      <c r="G199" s="1" t="str">
        <f t="shared" si="39"/>
        <v>3.2.2.2</v>
      </c>
      <c r="H199" s="1">
        <f t="shared" si="34"/>
        <v>5</v>
      </c>
      <c r="I199" t="str">
        <f t="shared" si="36"/>
        <v>3.2.2.2.4</v>
      </c>
      <c r="J199" t="s">
        <v>238</v>
      </c>
      <c r="L199" s="1">
        <f t="shared" si="35"/>
        <v>10</v>
      </c>
      <c r="M199" s="1" t="str">
        <f t="shared" si="40"/>
        <v>3.2.2.2</v>
      </c>
      <c r="N199">
        <f t="shared" si="32"/>
        <v>0</v>
      </c>
      <c r="P199" s="13">
        <f t="shared" si="41"/>
        <v>6.7272727272727275</v>
      </c>
      <c r="R199">
        <v>6</v>
      </c>
      <c r="S199">
        <v>4</v>
      </c>
      <c r="T199">
        <v>8</v>
      </c>
      <c r="U199">
        <v>6</v>
      </c>
      <c r="V199">
        <v>8</v>
      </c>
      <c r="W199">
        <v>8</v>
      </c>
      <c r="X199">
        <v>9</v>
      </c>
      <c r="Y199">
        <v>7</v>
      </c>
      <c r="Z199">
        <v>4</v>
      </c>
      <c r="AA199">
        <v>7</v>
      </c>
    </row>
    <row r="200" spans="1:27" x14ac:dyDescent="0.25">
      <c r="A200">
        <f t="shared" si="33"/>
        <v>198</v>
      </c>
      <c r="B200" t="str">
        <f t="shared" si="42"/>
        <v>3b2b5</v>
      </c>
      <c r="D200" s="11">
        <v>6</v>
      </c>
      <c r="E200">
        <f t="shared" si="38"/>
        <v>193</v>
      </c>
      <c r="F200">
        <f t="shared" si="37"/>
        <v>9</v>
      </c>
      <c r="G200" s="1" t="str">
        <f t="shared" si="39"/>
        <v>3.2.2.2</v>
      </c>
      <c r="H200" s="1">
        <f t="shared" si="34"/>
        <v>5</v>
      </c>
      <c r="I200" t="str">
        <f t="shared" si="36"/>
        <v>3.2.2.2.5</v>
      </c>
      <c r="J200" t="s">
        <v>239</v>
      </c>
      <c r="L200" s="1">
        <f t="shared" si="35"/>
        <v>10</v>
      </c>
      <c r="M200" s="1" t="str">
        <f t="shared" si="40"/>
        <v>3.2.2.2</v>
      </c>
      <c r="N200">
        <f t="shared" ref="N200:N263" si="43">IF(RIGHT(M200)=".",1,0)</f>
        <v>0</v>
      </c>
      <c r="P200" s="13">
        <f t="shared" si="41"/>
        <v>6.5454545454545459</v>
      </c>
      <c r="R200">
        <v>6</v>
      </c>
      <c r="S200">
        <v>7</v>
      </c>
      <c r="T200">
        <v>6</v>
      </c>
      <c r="U200">
        <v>6</v>
      </c>
      <c r="V200">
        <v>5</v>
      </c>
      <c r="W200">
        <v>7</v>
      </c>
      <c r="X200">
        <v>6</v>
      </c>
      <c r="Y200">
        <v>7</v>
      </c>
      <c r="Z200">
        <v>10</v>
      </c>
      <c r="AA200">
        <v>6</v>
      </c>
    </row>
    <row r="201" spans="1:27" x14ac:dyDescent="0.25">
      <c r="A201">
        <f t="shared" si="33"/>
        <v>199</v>
      </c>
      <c r="B201" t="str">
        <f t="shared" si="42"/>
        <v>3b2b6</v>
      </c>
      <c r="D201" s="11">
        <v>8</v>
      </c>
      <c r="E201">
        <f t="shared" si="38"/>
        <v>193</v>
      </c>
      <c r="F201">
        <f t="shared" si="37"/>
        <v>9</v>
      </c>
      <c r="G201" s="1" t="str">
        <f t="shared" si="39"/>
        <v>3.2.2.2</v>
      </c>
      <c r="H201" s="1">
        <f t="shared" si="34"/>
        <v>5</v>
      </c>
      <c r="I201" t="str">
        <f t="shared" si="36"/>
        <v>3.2.2.2.6</v>
      </c>
      <c r="J201" t="s">
        <v>240</v>
      </c>
      <c r="L201" s="1">
        <f t="shared" si="35"/>
        <v>10</v>
      </c>
      <c r="M201" s="1" t="str">
        <f t="shared" si="40"/>
        <v>3.2.2.2</v>
      </c>
      <c r="N201">
        <f t="shared" si="43"/>
        <v>0</v>
      </c>
      <c r="P201" s="13">
        <f t="shared" si="41"/>
        <v>7.0909090909090908</v>
      </c>
      <c r="R201">
        <v>9</v>
      </c>
      <c r="S201">
        <v>9</v>
      </c>
      <c r="T201">
        <v>8</v>
      </c>
      <c r="U201">
        <v>7</v>
      </c>
      <c r="V201">
        <v>3</v>
      </c>
      <c r="W201">
        <v>5</v>
      </c>
      <c r="X201">
        <v>9</v>
      </c>
      <c r="Y201">
        <v>8</v>
      </c>
      <c r="Z201">
        <v>3</v>
      </c>
      <c r="AA201">
        <v>9</v>
      </c>
    </row>
    <row r="202" spans="1:27" x14ac:dyDescent="0.25">
      <c r="A202">
        <f t="shared" si="33"/>
        <v>200</v>
      </c>
      <c r="B202" t="str">
        <f t="shared" si="42"/>
        <v>3b2c</v>
      </c>
      <c r="D202" s="3">
        <v>9</v>
      </c>
      <c r="E202">
        <f t="shared" si="38"/>
        <v>191</v>
      </c>
      <c r="F202">
        <f t="shared" si="37"/>
        <v>7</v>
      </c>
      <c r="G202" s="1" t="str">
        <f t="shared" si="39"/>
        <v>3.2.2</v>
      </c>
      <c r="H202" s="1">
        <f t="shared" si="34"/>
        <v>4</v>
      </c>
      <c r="I202" t="str">
        <f t="shared" si="36"/>
        <v>3.2.2.3</v>
      </c>
      <c r="J202" t="s">
        <v>241</v>
      </c>
      <c r="L202" s="1">
        <f t="shared" si="35"/>
        <v>8</v>
      </c>
      <c r="M202" s="1" t="str">
        <f t="shared" si="40"/>
        <v>3.2.2</v>
      </c>
      <c r="N202">
        <f t="shared" si="43"/>
        <v>0</v>
      </c>
      <c r="P202" s="13">
        <f t="shared" si="41"/>
        <v>9.454545454545455</v>
      </c>
      <c r="R202">
        <v>9</v>
      </c>
      <c r="S202">
        <v>10</v>
      </c>
      <c r="T202">
        <v>8</v>
      </c>
      <c r="U202">
        <v>10</v>
      </c>
      <c r="V202">
        <v>10</v>
      </c>
      <c r="W202">
        <v>9</v>
      </c>
      <c r="X202">
        <v>10</v>
      </c>
      <c r="Y202">
        <v>10</v>
      </c>
      <c r="Z202">
        <v>9</v>
      </c>
      <c r="AA202">
        <v>10</v>
      </c>
    </row>
    <row r="203" spans="1:27" x14ac:dyDescent="0.25">
      <c r="A203">
        <f t="shared" si="33"/>
        <v>201</v>
      </c>
      <c r="B203" t="str">
        <f t="shared" si="42"/>
        <v>3b2c1</v>
      </c>
      <c r="D203" s="11">
        <v>10</v>
      </c>
      <c r="E203">
        <f t="shared" si="38"/>
        <v>200</v>
      </c>
      <c r="F203">
        <f t="shared" si="37"/>
        <v>9</v>
      </c>
      <c r="G203" s="1" t="str">
        <f t="shared" si="39"/>
        <v>3.2.2.3</v>
      </c>
      <c r="H203" s="1">
        <f t="shared" si="34"/>
        <v>5</v>
      </c>
      <c r="I203" t="str">
        <f t="shared" si="36"/>
        <v>3.2.2.3.1</v>
      </c>
      <c r="J203" t="s">
        <v>242</v>
      </c>
      <c r="L203" s="1">
        <f t="shared" si="35"/>
        <v>10</v>
      </c>
      <c r="M203" s="1" t="str">
        <f t="shared" si="40"/>
        <v>3.2.2.3</v>
      </c>
      <c r="N203">
        <f t="shared" si="43"/>
        <v>0</v>
      </c>
      <c r="P203" s="13">
        <f t="shared" si="41"/>
        <v>9.545454545454545</v>
      </c>
      <c r="R203">
        <v>9</v>
      </c>
      <c r="S203">
        <v>10</v>
      </c>
      <c r="T203">
        <v>10</v>
      </c>
      <c r="U203">
        <v>10</v>
      </c>
      <c r="V203">
        <v>10</v>
      </c>
      <c r="W203">
        <v>10</v>
      </c>
      <c r="X203">
        <v>10</v>
      </c>
      <c r="Y203">
        <v>9</v>
      </c>
      <c r="Z203">
        <v>8</v>
      </c>
      <c r="AA203">
        <v>9</v>
      </c>
    </row>
    <row r="204" spans="1:27" x14ac:dyDescent="0.25">
      <c r="A204">
        <f t="shared" si="33"/>
        <v>202</v>
      </c>
      <c r="B204" t="str">
        <f t="shared" si="42"/>
        <v>3b2c2</v>
      </c>
      <c r="D204" s="11">
        <v>9</v>
      </c>
      <c r="E204">
        <f t="shared" si="38"/>
        <v>200</v>
      </c>
      <c r="F204">
        <f t="shared" si="37"/>
        <v>9</v>
      </c>
      <c r="G204" s="1" t="str">
        <f t="shared" si="39"/>
        <v>3.2.2.3</v>
      </c>
      <c r="H204" s="1">
        <f t="shared" si="34"/>
        <v>5</v>
      </c>
      <c r="I204" t="str">
        <f t="shared" si="36"/>
        <v>3.2.2.3.2</v>
      </c>
      <c r="J204" t="s">
        <v>243</v>
      </c>
      <c r="L204" s="1">
        <f t="shared" si="35"/>
        <v>10</v>
      </c>
      <c r="M204" s="1" t="str">
        <f t="shared" si="40"/>
        <v>3.2.2.3</v>
      </c>
      <c r="N204">
        <f t="shared" si="43"/>
        <v>0</v>
      </c>
      <c r="P204" s="13">
        <f t="shared" si="41"/>
        <v>8.454545454545455</v>
      </c>
      <c r="R204">
        <v>10</v>
      </c>
      <c r="S204">
        <v>9</v>
      </c>
      <c r="T204">
        <v>7</v>
      </c>
      <c r="U204">
        <v>9</v>
      </c>
      <c r="V204">
        <v>7</v>
      </c>
      <c r="W204">
        <v>8</v>
      </c>
      <c r="X204">
        <v>9</v>
      </c>
      <c r="Y204">
        <v>9</v>
      </c>
      <c r="Z204">
        <v>7</v>
      </c>
      <c r="AA204">
        <v>9</v>
      </c>
    </row>
    <row r="205" spans="1:27" x14ac:dyDescent="0.25">
      <c r="A205">
        <f t="shared" si="33"/>
        <v>203</v>
      </c>
      <c r="B205" t="str">
        <f t="shared" si="42"/>
        <v>3b2c3</v>
      </c>
      <c r="D205" s="11">
        <v>8</v>
      </c>
      <c r="E205">
        <f t="shared" si="38"/>
        <v>200</v>
      </c>
      <c r="F205">
        <f t="shared" si="37"/>
        <v>9</v>
      </c>
      <c r="G205" s="1" t="str">
        <f t="shared" si="39"/>
        <v>3.2.2.3</v>
      </c>
      <c r="H205" s="1">
        <f t="shared" si="34"/>
        <v>5</v>
      </c>
      <c r="I205" t="str">
        <f t="shared" si="36"/>
        <v>3.2.2.3.3</v>
      </c>
      <c r="J205" t="s">
        <v>244</v>
      </c>
      <c r="L205" s="1">
        <f t="shared" si="35"/>
        <v>10</v>
      </c>
      <c r="M205" s="1" t="str">
        <f t="shared" si="40"/>
        <v>3.2.2.3</v>
      </c>
      <c r="N205">
        <f t="shared" si="43"/>
        <v>0</v>
      </c>
      <c r="P205" s="13">
        <f t="shared" si="41"/>
        <v>8.0909090909090917</v>
      </c>
      <c r="R205">
        <v>8</v>
      </c>
      <c r="S205">
        <v>10</v>
      </c>
      <c r="T205">
        <v>9</v>
      </c>
      <c r="U205">
        <v>9</v>
      </c>
      <c r="V205">
        <v>3</v>
      </c>
      <c r="W205">
        <v>7</v>
      </c>
      <c r="X205">
        <v>8</v>
      </c>
      <c r="Y205">
        <v>9</v>
      </c>
      <c r="Z205">
        <v>10</v>
      </c>
      <c r="AA205">
        <v>8</v>
      </c>
    </row>
    <row r="206" spans="1:27" x14ac:dyDescent="0.25">
      <c r="A206">
        <f t="shared" si="33"/>
        <v>204</v>
      </c>
      <c r="B206" t="str">
        <f t="shared" si="42"/>
        <v>3b2c4</v>
      </c>
      <c r="D206" s="11">
        <v>8</v>
      </c>
      <c r="E206">
        <f t="shared" si="38"/>
        <v>200</v>
      </c>
      <c r="F206">
        <f t="shared" si="37"/>
        <v>9</v>
      </c>
      <c r="G206" s="1" t="str">
        <f t="shared" si="39"/>
        <v>3.2.2.3</v>
      </c>
      <c r="H206" s="1">
        <f t="shared" si="34"/>
        <v>5</v>
      </c>
      <c r="I206" t="str">
        <f t="shared" si="36"/>
        <v>3.2.2.3.4</v>
      </c>
      <c r="J206" t="s">
        <v>245</v>
      </c>
      <c r="L206" s="1">
        <f t="shared" si="35"/>
        <v>10</v>
      </c>
      <c r="M206" s="1" t="str">
        <f t="shared" si="40"/>
        <v>3.2.2.3</v>
      </c>
      <c r="N206">
        <f t="shared" si="43"/>
        <v>0</v>
      </c>
      <c r="P206" s="13">
        <f t="shared" si="41"/>
        <v>7.6363636363636367</v>
      </c>
      <c r="R206">
        <v>6</v>
      </c>
      <c r="S206">
        <v>7</v>
      </c>
      <c r="T206">
        <v>10</v>
      </c>
      <c r="U206">
        <v>7</v>
      </c>
      <c r="V206">
        <v>4</v>
      </c>
      <c r="W206">
        <v>7</v>
      </c>
      <c r="X206">
        <v>9</v>
      </c>
      <c r="Y206">
        <v>8</v>
      </c>
      <c r="Z206">
        <v>10</v>
      </c>
      <c r="AA206">
        <v>8</v>
      </c>
    </row>
    <row r="207" spans="1:27" x14ac:dyDescent="0.25">
      <c r="A207">
        <f t="shared" si="33"/>
        <v>205</v>
      </c>
      <c r="B207" t="str">
        <f t="shared" si="42"/>
        <v>3b2d</v>
      </c>
      <c r="D207" s="3">
        <v>8</v>
      </c>
      <c r="E207">
        <f t="shared" si="38"/>
        <v>191</v>
      </c>
      <c r="F207">
        <f t="shared" si="37"/>
        <v>7</v>
      </c>
      <c r="G207" s="1" t="str">
        <f t="shared" si="39"/>
        <v>3.2.2</v>
      </c>
      <c r="H207" s="1">
        <f t="shared" si="34"/>
        <v>4</v>
      </c>
      <c r="I207" t="str">
        <f t="shared" si="36"/>
        <v>3.2.2.4</v>
      </c>
      <c r="J207" t="s">
        <v>246</v>
      </c>
      <c r="L207" s="1">
        <f t="shared" si="35"/>
        <v>8</v>
      </c>
      <c r="M207" s="1" t="str">
        <f t="shared" si="40"/>
        <v>3.2.2</v>
      </c>
      <c r="N207">
        <f t="shared" si="43"/>
        <v>0</v>
      </c>
      <c r="P207" s="13">
        <f t="shared" si="41"/>
        <v>7.5454545454545459</v>
      </c>
      <c r="R207">
        <v>7</v>
      </c>
      <c r="S207">
        <v>10</v>
      </c>
      <c r="T207">
        <v>6</v>
      </c>
      <c r="U207">
        <v>8</v>
      </c>
      <c r="V207">
        <v>9</v>
      </c>
      <c r="W207">
        <v>8</v>
      </c>
      <c r="X207">
        <v>7</v>
      </c>
      <c r="Y207">
        <v>7</v>
      </c>
      <c r="Z207">
        <v>6</v>
      </c>
      <c r="AA207">
        <v>7</v>
      </c>
    </row>
    <row r="208" spans="1:27" x14ac:dyDescent="0.25">
      <c r="A208">
        <f t="shared" si="33"/>
        <v>206</v>
      </c>
      <c r="B208" t="str">
        <f t="shared" si="42"/>
        <v>3b2d1</v>
      </c>
      <c r="D208" s="11">
        <v>9</v>
      </c>
      <c r="E208">
        <f t="shared" si="38"/>
        <v>205</v>
      </c>
      <c r="F208">
        <f t="shared" si="37"/>
        <v>9</v>
      </c>
      <c r="G208" s="1" t="str">
        <f t="shared" si="39"/>
        <v>3.2.2.4</v>
      </c>
      <c r="H208" s="1">
        <f t="shared" si="34"/>
        <v>5</v>
      </c>
      <c r="I208" t="str">
        <f t="shared" si="36"/>
        <v>3.2.2.4.1</v>
      </c>
      <c r="J208" t="s">
        <v>247</v>
      </c>
      <c r="L208" s="1">
        <f t="shared" si="35"/>
        <v>10</v>
      </c>
      <c r="M208" s="1" t="str">
        <f t="shared" si="40"/>
        <v>3.2.2.4</v>
      </c>
      <c r="N208">
        <f t="shared" si="43"/>
        <v>0</v>
      </c>
      <c r="P208" s="13">
        <f t="shared" si="41"/>
        <v>8.0909090909090917</v>
      </c>
      <c r="R208">
        <v>9</v>
      </c>
      <c r="S208">
        <v>8</v>
      </c>
      <c r="T208">
        <v>8</v>
      </c>
      <c r="U208">
        <v>10</v>
      </c>
      <c r="V208">
        <v>9</v>
      </c>
      <c r="W208">
        <v>8</v>
      </c>
      <c r="X208">
        <v>8</v>
      </c>
      <c r="Y208">
        <v>10</v>
      </c>
      <c r="Z208">
        <v>1</v>
      </c>
      <c r="AA208">
        <v>9</v>
      </c>
    </row>
    <row r="209" spans="1:27" x14ac:dyDescent="0.25">
      <c r="A209">
        <f t="shared" si="33"/>
        <v>207</v>
      </c>
      <c r="B209" t="str">
        <f t="shared" si="42"/>
        <v>3b2d2</v>
      </c>
      <c r="D209" s="11">
        <v>9</v>
      </c>
      <c r="E209">
        <f t="shared" si="38"/>
        <v>205</v>
      </c>
      <c r="F209">
        <f t="shared" si="37"/>
        <v>9</v>
      </c>
      <c r="G209" s="1" t="str">
        <f t="shared" si="39"/>
        <v>3.2.2.4</v>
      </c>
      <c r="H209" s="1">
        <f t="shared" si="34"/>
        <v>5</v>
      </c>
      <c r="I209" t="str">
        <f t="shared" si="36"/>
        <v>3.2.2.4.2</v>
      </c>
      <c r="J209" t="s">
        <v>248</v>
      </c>
      <c r="L209" s="1">
        <f t="shared" si="35"/>
        <v>10</v>
      </c>
      <c r="M209" s="1" t="str">
        <f t="shared" si="40"/>
        <v>3.2.2.4</v>
      </c>
      <c r="N209">
        <f t="shared" si="43"/>
        <v>0</v>
      </c>
      <c r="P209" s="13">
        <f t="shared" si="41"/>
        <v>8.7272727272727266</v>
      </c>
      <c r="R209">
        <v>9</v>
      </c>
      <c r="S209">
        <v>10</v>
      </c>
      <c r="T209">
        <v>8</v>
      </c>
      <c r="U209">
        <v>9</v>
      </c>
      <c r="V209">
        <v>10</v>
      </c>
      <c r="W209">
        <v>9</v>
      </c>
      <c r="X209">
        <v>9</v>
      </c>
      <c r="Y209">
        <v>8</v>
      </c>
      <c r="Z209">
        <v>5</v>
      </c>
      <c r="AA209">
        <v>10</v>
      </c>
    </row>
    <row r="210" spans="1:27" x14ac:dyDescent="0.25">
      <c r="A210">
        <f t="shared" si="33"/>
        <v>208</v>
      </c>
      <c r="B210" t="str">
        <f t="shared" si="42"/>
        <v>3b2d3</v>
      </c>
      <c r="D210" s="11">
        <v>10</v>
      </c>
      <c r="E210">
        <f t="shared" si="38"/>
        <v>205</v>
      </c>
      <c r="F210">
        <f t="shared" si="37"/>
        <v>9</v>
      </c>
      <c r="G210" s="1" t="str">
        <f t="shared" si="39"/>
        <v>3.2.2.4</v>
      </c>
      <c r="H210" s="1">
        <f t="shared" si="34"/>
        <v>5</v>
      </c>
      <c r="I210" t="str">
        <f t="shared" si="36"/>
        <v>3.2.2.4.3</v>
      </c>
      <c r="J210" t="s">
        <v>249</v>
      </c>
      <c r="L210" s="1">
        <f t="shared" si="35"/>
        <v>10</v>
      </c>
      <c r="M210" s="1" t="str">
        <f t="shared" si="40"/>
        <v>3.2.2.4</v>
      </c>
      <c r="N210">
        <f t="shared" si="43"/>
        <v>0</v>
      </c>
      <c r="P210" s="13">
        <f t="shared" si="41"/>
        <v>9.1818181818181817</v>
      </c>
      <c r="R210">
        <v>10</v>
      </c>
      <c r="S210">
        <v>10</v>
      </c>
      <c r="T210">
        <v>10</v>
      </c>
      <c r="U210">
        <v>9</v>
      </c>
      <c r="V210">
        <v>10</v>
      </c>
      <c r="W210">
        <v>10</v>
      </c>
      <c r="X210">
        <v>10</v>
      </c>
      <c r="Y210">
        <v>8</v>
      </c>
      <c r="Z210">
        <v>5</v>
      </c>
      <c r="AA210">
        <v>9</v>
      </c>
    </row>
    <row r="211" spans="1:27" x14ac:dyDescent="0.25">
      <c r="A211">
        <f t="shared" ref="A211:A274" si="44">A210+1</f>
        <v>209</v>
      </c>
      <c r="B211" t="str">
        <f t="shared" si="42"/>
        <v>3b2d4</v>
      </c>
      <c r="D211" s="11">
        <v>10</v>
      </c>
      <c r="E211">
        <f t="shared" si="38"/>
        <v>205</v>
      </c>
      <c r="F211">
        <f t="shared" si="37"/>
        <v>9</v>
      </c>
      <c r="G211" s="1" t="str">
        <f t="shared" si="39"/>
        <v>3.2.2.4</v>
      </c>
      <c r="H211" s="1">
        <f t="shared" ref="H211:H274" si="45">ROUNDUP(F211/2,0)</f>
        <v>5</v>
      </c>
      <c r="I211" t="str">
        <f t="shared" si="36"/>
        <v>3.2.2.4.4</v>
      </c>
      <c r="J211" t="s">
        <v>250</v>
      </c>
      <c r="L211" s="1">
        <f t="shared" ref="L211:L274" si="46">IFERROR(SEARCH(L$2,J211),SEARCH(". ",J211))</f>
        <v>10</v>
      </c>
      <c r="M211" s="1" t="str">
        <f t="shared" si="40"/>
        <v>3.2.2.4</v>
      </c>
      <c r="N211">
        <f t="shared" si="43"/>
        <v>0</v>
      </c>
      <c r="P211" s="13">
        <f t="shared" si="41"/>
        <v>8.9090909090909083</v>
      </c>
      <c r="R211">
        <v>10</v>
      </c>
      <c r="S211">
        <v>8</v>
      </c>
      <c r="T211">
        <v>5</v>
      </c>
      <c r="U211">
        <v>10</v>
      </c>
      <c r="V211">
        <v>10</v>
      </c>
      <c r="W211">
        <v>8</v>
      </c>
      <c r="X211">
        <v>9</v>
      </c>
      <c r="Y211">
        <v>10</v>
      </c>
      <c r="Z211">
        <v>8</v>
      </c>
      <c r="AA211">
        <v>10</v>
      </c>
    </row>
    <row r="212" spans="1:27" x14ac:dyDescent="0.25">
      <c r="A212">
        <f t="shared" si="44"/>
        <v>210</v>
      </c>
      <c r="B212" t="str">
        <f t="shared" si="42"/>
        <v>3b2d5</v>
      </c>
      <c r="D212" s="11">
        <v>7</v>
      </c>
      <c r="E212">
        <f t="shared" si="38"/>
        <v>205</v>
      </c>
      <c r="F212">
        <f t="shared" si="37"/>
        <v>9</v>
      </c>
      <c r="G212" s="1" t="str">
        <f t="shared" si="39"/>
        <v>3.2.2.4</v>
      </c>
      <c r="H212" s="1">
        <f t="shared" si="45"/>
        <v>5</v>
      </c>
      <c r="I212" t="str">
        <f t="shared" ref="I212:I275" si="47">LEFT(J212,L212-1)</f>
        <v>3.2.2.4.5</v>
      </c>
      <c r="J212" t="s">
        <v>251</v>
      </c>
      <c r="L212" s="1">
        <f t="shared" si="46"/>
        <v>10</v>
      </c>
      <c r="M212" s="1" t="str">
        <f t="shared" si="40"/>
        <v>3.2.2.4</v>
      </c>
      <c r="N212">
        <f t="shared" si="43"/>
        <v>0</v>
      </c>
      <c r="P212" s="13">
        <f t="shared" si="41"/>
        <v>7.9090909090909092</v>
      </c>
      <c r="R212">
        <v>9</v>
      </c>
      <c r="S212">
        <v>9</v>
      </c>
      <c r="T212">
        <v>8</v>
      </c>
      <c r="U212">
        <v>8</v>
      </c>
      <c r="V212">
        <v>7</v>
      </c>
      <c r="W212">
        <v>8</v>
      </c>
      <c r="X212">
        <v>8</v>
      </c>
      <c r="Y212">
        <v>8</v>
      </c>
      <c r="Z212">
        <v>9</v>
      </c>
      <c r="AA212">
        <v>6</v>
      </c>
    </row>
    <row r="213" spans="1:27" x14ac:dyDescent="0.25">
      <c r="A213">
        <f t="shared" si="44"/>
        <v>211</v>
      </c>
      <c r="B213" t="str">
        <f t="shared" si="42"/>
        <v>3b2d6</v>
      </c>
      <c r="D213" s="11">
        <v>7</v>
      </c>
      <c r="E213">
        <f t="shared" si="38"/>
        <v>205</v>
      </c>
      <c r="F213">
        <f t="shared" si="37"/>
        <v>9</v>
      </c>
      <c r="G213" s="1" t="str">
        <f t="shared" si="39"/>
        <v>3.2.2.4</v>
      </c>
      <c r="H213" s="1">
        <f t="shared" si="45"/>
        <v>5</v>
      </c>
      <c r="I213" t="str">
        <f t="shared" si="47"/>
        <v>3.2.2.4.6</v>
      </c>
      <c r="J213" t="s">
        <v>252</v>
      </c>
      <c r="L213" s="1">
        <f t="shared" si="46"/>
        <v>10</v>
      </c>
      <c r="M213" s="1" t="str">
        <f t="shared" si="40"/>
        <v>3.2.2.4</v>
      </c>
      <c r="N213">
        <f t="shared" si="43"/>
        <v>0</v>
      </c>
      <c r="P213" s="13">
        <f t="shared" si="41"/>
        <v>5.8181818181818183</v>
      </c>
      <c r="R213">
        <v>7</v>
      </c>
      <c r="S213">
        <v>7</v>
      </c>
      <c r="T213">
        <v>7</v>
      </c>
      <c r="U213">
        <v>6</v>
      </c>
      <c r="V213">
        <v>5</v>
      </c>
      <c r="W213">
        <v>5</v>
      </c>
      <c r="X213">
        <v>6</v>
      </c>
      <c r="Y213">
        <v>7</v>
      </c>
      <c r="Z213">
        <v>1</v>
      </c>
      <c r="AA213">
        <v>6</v>
      </c>
    </row>
    <row r="214" spans="1:27" x14ac:dyDescent="0.25">
      <c r="A214">
        <f t="shared" si="44"/>
        <v>212</v>
      </c>
      <c r="B214" t="str">
        <f t="shared" si="42"/>
        <v>3b2e</v>
      </c>
      <c r="D214" s="3">
        <v>7</v>
      </c>
      <c r="E214">
        <f t="shared" si="38"/>
        <v>191</v>
      </c>
      <c r="F214">
        <f t="shared" si="37"/>
        <v>7</v>
      </c>
      <c r="G214" s="1" t="str">
        <f t="shared" si="39"/>
        <v>3.2.2</v>
      </c>
      <c r="H214" s="1">
        <f t="shared" si="45"/>
        <v>4</v>
      </c>
      <c r="I214" t="str">
        <f t="shared" si="47"/>
        <v>3.2.2.5</v>
      </c>
      <c r="J214" t="s">
        <v>253</v>
      </c>
      <c r="L214" s="1">
        <f t="shared" si="46"/>
        <v>8</v>
      </c>
      <c r="M214" s="1" t="str">
        <f t="shared" si="40"/>
        <v>3.2.2</v>
      </c>
      <c r="N214">
        <f t="shared" si="43"/>
        <v>0</v>
      </c>
      <c r="P214" s="13">
        <f t="shared" si="41"/>
        <v>7.6363636363636367</v>
      </c>
      <c r="R214">
        <v>9</v>
      </c>
      <c r="S214">
        <v>7</v>
      </c>
      <c r="T214">
        <v>10</v>
      </c>
      <c r="U214">
        <v>8</v>
      </c>
      <c r="V214">
        <v>3</v>
      </c>
      <c r="W214">
        <v>8</v>
      </c>
      <c r="X214">
        <v>9</v>
      </c>
      <c r="Y214">
        <v>7</v>
      </c>
      <c r="Z214">
        <v>10</v>
      </c>
      <c r="AA214">
        <v>6</v>
      </c>
    </row>
    <row r="215" spans="1:27" x14ac:dyDescent="0.25">
      <c r="A215">
        <f t="shared" si="44"/>
        <v>213</v>
      </c>
      <c r="B215" t="str">
        <f t="shared" si="42"/>
        <v>3b2e1</v>
      </c>
      <c r="D215" s="11">
        <v>8</v>
      </c>
      <c r="E215">
        <f t="shared" si="38"/>
        <v>212</v>
      </c>
      <c r="F215">
        <f t="shared" si="37"/>
        <v>9</v>
      </c>
      <c r="G215" s="1" t="str">
        <f t="shared" si="39"/>
        <v>3.2.2.5</v>
      </c>
      <c r="H215" s="1">
        <f t="shared" si="45"/>
        <v>5</v>
      </c>
      <c r="I215" t="str">
        <f t="shared" si="47"/>
        <v>3.2.2.5.1</v>
      </c>
      <c r="J215" t="s">
        <v>254</v>
      </c>
      <c r="L215" s="1">
        <f t="shared" si="46"/>
        <v>10</v>
      </c>
      <c r="M215" s="1" t="str">
        <f t="shared" si="40"/>
        <v>3.2.2.5</v>
      </c>
      <c r="N215">
        <f t="shared" si="43"/>
        <v>0</v>
      </c>
      <c r="P215" s="13">
        <f t="shared" si="41"/>
        <v>7.9090909090909092</v>
      </c>
      <c r="R215">
        <v>7</v>
      </c>
      <c r="S215">
        <v>8</v>
      </c>
      <c r="T215">
        <v>7</v>
      </c>
      <c r="U215">
        <v>7</v>
      </c>
      <c r="V215">
        <v>10</v>
      </c>
      <c r="W215">
        <v>8</v>
      </c>
      <c r="X215">
        <v>9</v>
      </c>
      <c r="Y215">
        <v>7</v>
      </c>
      <c r="Z215">
        <v>7</v>
      </c>
      <c r="AA215">
        <v>9</v>
      </c>
    </row>
    <row r="216" spans="1:27" x14ac:dyDescent="0.25">
      <c r="A216">
        <f t="shared" si="44"/>
        <v>214</v>
      </c>
      <c r="B216" t="str">
        <f t="shared" si="42"/>
        <v>3b2e2</v>
      </c>
      <c r="D216" s="11">
        <v>9</v>
      </c>
      <c r="E216">
        <f t="shared" si="38"/>
        <v>212</v>
      </c>
      <c r="F216">
        <f t="shared" si="37"/>
        <v>9</v>
      </c>
      <c r="G216" s="1" t="str">
        <f t="shared" si="39"/>
        <v>3.2.2.5</v>
      </c>
      <c r="H216" s="1">
        <f t="shared" si="45"/>
        <v>5</v>
      </c>
      <c r="I216" t="str">
        <f t="shared" si="47"/>
        <v>3.2.2.5.2</v>
      </c>
      <c r="J216" t="s">
        <v>255</v>
      </c>
      <c r="L216" s="1">
        <f t="shared" si="46"/>
        <v>10</v>
      </c>
      <c r="M216" s="1" t="str">
        <f t="shared" si="40"/>
        <v>3.2.2.5</v>
      </c>
      <c r="N216">
        <f t="shared" si="43"/>
        <v>0</v>
      </c>
      <c r="P216" s="13">
        <f t="shared" si="41"/>
        <v>8.7272727272727266</v>
      </c>
      <c r="R216">
        <v>9</v>
      </c>
      <c r="S216">
        <v>8</v>
      </c>
      <c r="T216">
        <v>8</v>
      </c>
      <c r="U216">
        <v>8</v>
      </c>
      <c r="V216">
        <v>10</v>
      </c>
      <c r="W216">
        <v>8</v>
      </c>
      <c r="X216">
        <v>9</v>
      </c>
      <c r="Y216">
        <v>9</v>
      </c>
      <c r="Z216">
        <v>9</v>
      </c>
      <c r="AA216">
        <v>9</v>
      </c>
    </row>
    <row r="217" spans="1:27" x14ac:dyDescent="0.25">
      <c r="A217">
        <f t="shared" si="44"/>
        <v>215</v>
      </c>
      <c r="B217" t="str">
        <f t="shared" si="42"/>
        <v>3b2e3</v>
      </c>
      <c r="D217" s="11">
        <v>7</v>
      </c>
      <c r="E217">
        <f t="shared" si="38"/>
        <v>212</v>
      </c>
      <c r="F217">
        <f t="shared" si="37"/>
        <v>9</v>
      </c>
      <c r="G217" s="1" t="str">
        <f t="shared" si="39"/>
        <v>3.2.2.5</v>
      </c>
      <c r="H217" s="1">
        <f t="shared" si="45"/>
        <v>5</v>
      </c>
      <c r="I217" t="str">
        <f t="shared" si="47"/>
        <v>3.2.2.5.3</v>
      </c>
      <c r="J217" t="s">
        <v>256</v>
      </c>
      <c r="L217" s="1">
        <f t="shared" si="46"/>
        <v>10</v>
      </c>
      <c r="M217" s="1" t="str">
        <f t="shared" si="40"/>
        <v>3.2.2.5</v>
      </c>
      <c r="N217">
        <f t="shared" si="43"/>
        <v>0</v>
      </c>
      <c r="P217" s="13">
        <f t="shared" si="41"/>
        <v>7.6363636363636367</v>
      </c>
      <c r="R217">
        <v>8</v>
      </c>
      <c r="S217">
        <v>6</v>
      </c>
      <c r="T217">
        <v>8</v>
      </c>
      <c r="U217">
        <v>6</v>
      </c>
      <c r="V217">
        <v>8</v>
      </c>
      <c r="W217">
        <v>7</v>
      </c>
      <c r="X217">
        <v>9</v>
      </c>
      <c r="Y217">
        <v>7</v>
      </c>
      <c r="Z217">
        <v>9</v>
      </c>
      <c r="AA217">
        <v>9</v>
      </c>
    </row>
    <row r="218" spans="1:27" x14ac:dyDescent="0.25">
      <c r="A218">
        <f t="shared" si="44"/>
        <v>216</v>
      </c>
      <c r="B218" t="str">
        <f t="shared" si="42"/>
        <v>3b2f</v>
      </c>
      <c r="D218" s="3">
        <v>8</v>
      </c>
      <c r="E218">
        <f t="shared" si="38"/>
        <v>191</v>
      </c>
      <c r="F218">
        <f t="shared" si="37"/>
        <v>7</v>
      </c>
      <c r="G218" s="1" t="str">
        <f t="shared" si="39"/>
        <v>3.2.2</v>
      </c>
      <c r="H218" s="1">
        <f t="shared" si="45"/>
        <v>4</v>
      </c>
      <c r="I218" t="str">
        <f t="shared" si="47"/>
        <v>3.2.2.6</v>
      </c>
      <c r="J218" t="s">
        <v>257</v>
      </c>
      <c r="L218" s="1">
        <f t="shared" si="46"/>
        <v>8</v>
      </c>
      <c r="M218" s="1" t="str">
        <f t="shared" si="40"/>
        <v>3.2.2</v>
      </c>
      <c r="N218">
        <f t="shared" si="43"/>
        <v>0</v>
      </c>
      <c r="P218" s="13">
        <f t="shared" si="41"/>
        <v>8.0909090909090917</v>
      </c>
      <c r="R218">
        <v>8</v>
      </c>
      <c r="S218">
        <v>7</v>
      </c>
      <c r="T218">
        <v>9</v>
      </c>
      <c r="U218">
        <v>9</v>
      </c>
      <c r="V218">
        <v>6</v>
      </c>
      <c r="W218">
        <v>7</v>
      </c>
      <c r="X218">
        <v>8</v>
      </c>
      <c r="Y218">
        <v>8</v>
      </c>
      <c r="Z218">
        <v>10</v>
      </c>
      <c r="AA218">
        <v>9</v>
      </c>
    </row>
    <row r="219" spans="1:27" x14ac:dyDescent="0.25">
      <c r="A219">
        <f t="shared" si="44"/>
        <v>217</v>
      </c>
      <c r="B219" t="str">
        <f t="shared" si="42"/>
        <v>3b2f1</v>
      </c>
      <c r="D219" s="11">
        <v>9</v>
      </c>
      <c r="E219">
        <f t="shared" si="38"/>
        <v>216</v>
      </c>
      <c r="F219">
        <f t="shared" si="37"/>
        <v>9</v>
      </c>
      <c r="G219" s="1" t="str">
        <f t="shared" si="39"/>
        <v>3.2.2.6</v>
      </c>
      <c r="H219" s="1">
        <f t="shared" si="45"/>
        <v>5</v>
      </c>
      <c r="I219" t="str">
        <f t="shared" si="47"/>
        <v>3.2.2.6.1</v>
      </c>
      <c r="J219" t="s">
        <v>258</v>
      </c>
      <c r="L219" s="1">
        <f t="shared" si="46"/>
        <v>10</v>
      </c>
      <c r="M219" s="1" t="str">
        <f t="shared" si="40"/>
        <v>3.2.2.6</v>
      </c>
      <c r="N219">
        <f t="shared" si="43"/>
        <v>0</v>
      </c>
      <c r="P219" s="13">
        <f t="shared" si="41"/>
        <v>8.7272727272727266</v>
      </c>
      <c r="R219">
        <v>10</v>
      </c>
      <c r="S219">
        <v>8</v>
      </c>
      <c r="T219">
        <v>10</v>
      </c>
      <c r="U219">
        <v>9</v>
      </c>
      <c r="V219">
        <v>10</v>
      </c>
      <c r="W219">
        <v>10</v>
      </c>
      <c r="X219">
        <v>10</v>
      </c>
      <c r="Y219">
        <v>7</v>
      </c>
      <c r="Z219">
        <v>4</v>
      </c>
      <c r="AA219">
        <v>9</v>
      </c>
    </row>
    <row r="220" spans="1:27" x14ac:dyDescent="0.25">
      <c r="A220">
        <f t="shared" si="44"/>
        <v>218</v>
      </c>
      <c r="B220" t="str">
        <f t="shared" si="42"/>
        <v>3b2f2</v>
      </c>
      <c r="D220" s="11">
        <v>8</v>
      </c>
      <c r="E220">
        <f t="shared" si="38"/>
        <v>216</v>
      </c>
      <c r="F220">
        <f t="shared" si="37"/>
        <v>9</v>
      </c>
      <c r="G220" s="1" t="str">
        <f t="shared" si="39"/>
        <v>3.2.2.6</v>
      </c>
      <c r="H220" s="1">
        <f t="shared" si="45"/>
        <v>5</v>
      </c>
      <c r="I220" t="str">
        <f t="shared" si="47"/>
        <v>3.2.2.6.2</v>
      </c>
      <c r="J220" t="s">
        <v>259</v>
      </c>
      <c r="L220" s="1">
        <f t="shared" si="46"/>
        <v>10</v>
      </c>
      <c r="M220" s="1" t="str">
        <f t="shared" si="40"/>
        <v>3.2.2.6</v>
      </c>
      <c r="N220">
        <f t="shared" si="43"/>
        <v>0</v>
      </c>
      <c r="P220" s="13">
        <f t="shared" si="41"/>
        <v>8.454545454545455</v>
      </c>
      <c r="R220">
        <v>9</v>
      </c>
      <c r="S220">
        <v>10</v>
      </c>
      <c r="T220">
        <v>7</v>
      </c>
      <c r="U220">
        <v>8</v>
      </c>
      <c r="V220">
        <v>10</v>
      </c>
      <c r="W220">
        <v>8</v>
      </c>
      <c r="X220">
        <v>7</v>
      </c>
      <c r="Y220">
        <v>8</v>
      </c>
      <c r="Z220">
        <v>10</v>
      </c>
      <c r="AA220">
        <v>8</v>
      </c>
    </row>
    <row r="221" spans="1:27" x14ac:dyDescent="0.25">
      <c r="A221">
        <f t="shared" si="44"/>
        <v>219</v>
      </c>
      <c r="B221" t="str">
        <f t="shared" si="42"/>
        <v>3b2f3</v>
      </c>
      <c r="D221" s="11">
        <v>7</v>
      </c>
      <c r="E221">
        <f t="shared" si="38"/>
        <v>216</v>
      </c>
      <c r="F221">
        <f t="shared" si="37"/>
        <v>9</v>
      </c>
      <c r="G221" s="1" t="str">
        <f t="shared" si="39"/>
        <v>3.2.2.6</v>
      </c>
      <c r="H221" s="1">
        <f t="shared" si="45"/>
        <v>5</v>
      </c>
      <c r="I221" t="str">
        <f t="shared" si="47"/>
        <v>3.2.2.6.3</v>
      </c>
      <c r="J221" t="s">
        <v>260</v>
      </c>
      <c r="L221" s="1">
        <f t="shared" si="46"/>
        <v>10</v>
      </c>
      <c r="M221" s="1" t="str">
        <f t="shared" si="40"/>
        <v>3.2.2.6</v>
      </c>
      <c r="N221">
        <f t="shared" si="43"/>
        <v>0</v>
      </c>
      <c r="P221" s="13">
        <f t="shared" si="41"/>
        <v>6.8181818181818183</v>
      </c>
      <c r="R221">
        <v>8</v>
      </c>
      <c r="S221">
        <v>8</v>
      </c>
      <c r="T221">
        <v>10</v>
      </c>
      <c r="U221">
        <v>7</v>
      </c>
      <c r="V221">
        <v>3</v>
      </c>
      <c r="W221">
        <v>8</v>
      </c>
      <c r="X221">
        <v>8</v>
      </c>
      <c r="Y221">
        <v>6</v>
      </c>
      <c r="Z221">
        <v>4</v>
      </c>
      <c r="AA221">
        <v>6</v>
      </c>
    </row>
    <row r="222" spans="1:27" x14ac:dyDescent="0.25">
      <c r="A222">
        <f t="shared" si="44"/>
        <v>220</v>
      </c>
      <c r="B222" t="str">
        <f t="shared" si="42"/>
        <v>3b2f4</v>
      </c>
      <c r="D222" s="11">
        <v>6</v>
      </c>
      <c r="E222">
        <f t="shared" si="38"/>
        <v>216</v>
      </c>
      <c r="F222">
        <f t="shared" si="37"/>
        <v>9</v>
      </c>
      <c r="G222" s="1" t="str">
        <f t="shared" si="39"/>
        <v>3.2.2.6</v>
      </c>
      <c r="H222" s="1">
        <f t="shared" si="45"/>
        <v>5</v>
      </c>
      <c r="I222" t="str">
        <f t="shared" si="47"/>
        <v>3.2.2.6.4</v>
      </c>
      <c r="J222" t="s">
        <v>261</v>
      </c>
      <c r="L222" s="1">
        <f t="shared" si="46"/>
        <v>10</v>
      </c>
      <c r="M222" s="1" t="str">
        <f t="shared" si="40"/>
        <v>3.2.2.6</v>
      </c>
      <c r="N222">
        <f t="shared" si="43"/>
        <v>0</v>
      </c>
      <c r="P222" s="13">
        <f t="shared" si="41"/>
        <v>6.0909090909090908</v>
      </c>
      <c r="R222">
        <v>7</v>
      </c>
      <c r="S222">
        <v>5</v>
      </c>
      <c r="T222">
        <v>6</v>
      </c>
      <c r="U222">
        <v>6</v>
      </c>
      <c r="V222">
        <v>5</v>
      </c>
      <c r="W222">
        <v>7</v>
      </c>
      <c r="X222">
        <v>8</v>
      </c>
      <c r="Y222">
        <v>7</v>
      </c>
      <c r="Z222">
        <v>3</v>
      </c>
      <c r="AA222">
        <v>7</v>
      </c>
    </row>
    <row r="223" spans="1:27" x14ac:dyDescent="0.25">
      <c r="A223">
        <f t="shared" si="44"/>
        <v>221</v>
      </c>
      <c r="B223" t="str">
        <f t="shared" si="42"/>
        <v>3b2g</v>
      </c>
      <c r="D223" s="3">
        <v>7</v>
      </c>
      <c r="E223">
        <f t="shared" si="38"/>
        <v>191</v>
      </c>
      <c r="F223">
        <f t="shared" si="37"/>
        <v>7</v>
      </c>
      <c r="G223" s="1" t="str">
        <f t="shared" si="39"/>
        <v>3.2.2</v>
      </c>
      <c r="H223" s="1">
        <f t="shared" si="45"/>
        <v>4</v>
      </c>
      <c r="I223" t="str">
        <f t="shared" si="47"/>
        <v>3.2.2.7</v>
      </c>
      <c r="J223" t="s">
        <v>262</v>
      </c>
      <c r="L223" s="1">
        <f t="shared" si="46"/>
        <v>8</v>
      </c>
      <c r="M223" s="1" t="str">
        <f t="shared" si="40"/>
        <v>3.2.2</v>
      </c>
      <c r="N223">
        <f t="shared" si="43"/>
        <v>0</v>
      </c>
      <c r="P223" s="13">
        <f t="shared" si="41"/>
        <v>6.8181818181818183</v>
      </c>
      <c r="R223">
        <v>7</v>
      </c>
      <c r="S223">
        <v>6</v>
      </c>
      <c r="T223">
        <v>7</v>
      </c>
      <c r="U223">
        <v>7</v>
      </c>
      <c r="V223">
        <v>0</v>
      </c>
      <c r="W223">
        <v>8</v>
      </c>
      <c r="X223">
        <v>6</v>
      </c>
      <c r="Y223">
        <v>9</v>
      </c>
      <c r="Z223">
        <v>10</v>
      </c>
      <c r="AA223">
        <v>8</v>
      </c>
    </row>
    <row r="224" spans="1:27" x14ac:dyDescent="0.25">
      <c r="A224">
        <f t="shared" si="44"/>
        <v>222</v>
      </c>
      <c r="B224" t="str">
        <f t="shared" si="42"/>
        <v>3b2g1</v>
      </c>
      <c r="D224" s="11">
        <v>9</v>
      </c>
      <c r="E224">
        <f t="shared" si="38"/>
        <v>221</v>
      </c>
      <c r="F224">
        <f t="shared" si="37"/>
        <v>9</v>
      </c>
      <c r="G224" s="1" t="str">
        <f t="shared" si="39"/>
        <v>3.2.2.7</v>
      </c>
      <c r="H224" s="1">
        <f t="shared" si="45"/>
        <v>5</v>
      </c>
      <c r="I224" t="str">
        <f t="shared" si="47"/>
        <v>3.2.2.7.1</v>
      </c>
      <c r="J224" t="s">
        <v>263</v>
      </c>
      <c r="L224" s="1">
        <f t="shared" si="46"/>
        <v>10</v>
      </c>
      <c r="M224" s="1" t="str">
        <f t="shared" si="40"/>
        <v>3.2.2.7</v>
      </c>
      <c r="N224">
        <f t="shared" si="43"/>
        <v>0</v>
      </c>
      <c r="P224" s="13">
        <f t="shared" si="41"/>
        <v>9</v>
      </c>
      <c r="R224">
        <v>9</v>
      </c>
      <c r="S224">
        <v>9</v>
      </c>
      <c r="T224">
        <v>8</v>
      </c>
      <c r="U224">
        <v>10</v>
      </c>
      <c r="V224">
        <v>7</v>
      </c>
      <c r="W224">
        <v>10</v>
      </c>
      <c r="X224">
        <v>10</v>
      </c>
      <c r="Y224">
        <v>10</v>
      </c>
      <c r="Z224">
        <v>10</v>
      </c>
      <c r="AA224">
        <v>7</v>
      </c>
    </row>
    <row r="225" spans="1:27" x14ac:dyDescent="0.25">
      <c r="A225">
        <f t="shared" si="44"/>
        <v>223</v>
      </c>
      <c r="B225" t="str">
        <f t="shared" si="42"/>
        <v>3b2g2</v>
      </c>
      <c r="D225" s="11">
        <v>8</v>
      </c>
      <c r="E225">
        <f t="shared" si="38"/>
        <v>221</v>
      </c>
      <c r="F225">
        <f t="shared" si="37"/>
        <v>9</v>
      </c>
      <c r="G225" s="1" t="str">
        <f t="shared" si="39"/>
        <v>3.2.2.7</v>
      </c>
      <c r="H225" s="1">
        <f t="shared" si="45"/>
        <v>5</v>
      </c>
      <c r="I225" t="str">
        <f t="shared" si="47"/>
        <v>3.2.2.7.2</v>
      </c>
      <c r="J225" t="s">
        <v>264</v>
      </c>
      <c r="L225" s="1">
        <f t="shared" si="46"/>
        <v>10</v>
      </c>
      <c r="M225" s="1" t="str">
        <f t="shared" si="40"/>
        <v>3.2.2.7</v>
      </c>
      <c r="N225">
        <f t="shared" si="43"/>
        <v>0</v>
      </c>
      <c r="P225" s="13">
        <f t="shared" si="41"/>
        <v>7.9090909090909092</v>
      </c>
      <c r="R225">
        <v>9</v>
      </c>
      <c r="S225">
        <v>7</v>
      </c>
      <c r="T225">
        <v>7</v>
      </c>
      <c r="U225">
        <v>10</v>
      </c>
      <c r="V225">
        <v>6</v>
      </c>
      <c r="W225">
        <v>8</v>
      </c>
      <c r="X225">
        <v>8</v>
      </c>
      <c r="Y225">
        <v>8</v>
      </c>
      <c r="Z225">
        <v>9</v>
      </c>
      <c r="AA225">
        <v>7</v>
      </c>
    </row>
    <row r="226" spans="1:27" x14ac:dyDescent="0.25">
      <c r="A226">
        <f t="shared" si="44"/>
        <v>224</v>
      </c>
      <c r="B226" t="str">
        <f t="shared" si="42"/>
        <v>3b2g3</v>
      </c>
      <c r="D226" s="11">
        <v>7</v>
      </c>
      <c r="E226">
        <f t="shared" si="38"/>
        <v>221</v>
      </c>
      <c r="F226">
        <f t="shared" si="37"/>
        <v>9</v>
      </c>
      <c r="G226" s="1" t="str">
        <f t="shared" si="39"/>
        <v>3.2.2.7</v>
      </c>
      <c r="H226" s="1">
        <f t="shared" si="45"/>
        <v>5</v>
      </c>
      <c r="I226" t="str">
        <f t="shared" si="47"/>
        <v>3.2.2.7.3</v>
      </c>
      <c r="J226" t="s">
        <v>265</v>
      </c>
      <c r="L226" s="1">
        <f t="shared" si="46"/>
        <v>10</v>
      </c>
      <c r="M226" s="1" t="str">
        <f t="shared" si="40"/>
        <v>3.2.2.7</v>
      </c>
      <c r="N226">
        <f t="shared" si="43"/>
        <v>0</v>
      </c>
      <c r="P226" s="13">
        <f t="shared" si="41"/>
        <v>7.2727272727272725</v>
      </c>
      <c r="R226">
        <v>6</v>
      </c>
      <c r="S226">
        <v>8</v>
      </c>
      <c r="T226">
        <v>5</v>
      </c>
      <c r="U226">
        <v>9</v>
      </c>
      <c r="V226">
        <v>7</v>
      </c>
      <c r="W226">
        <v>8</v>
      </c>
      <c r="X226">
        <v>8</v>
      </c>
      <c r="Y226">
        <v>6</v>
      </c>
      <c r="Z226">
        <v>6</v>
      </c>
      <c r="AA226">
        <v>10</v>
      </c>
    </row>
    <row r="227" spans="1:27" x14ac:dyDescent="0.25">
      <c r="A227">
        <f t="shared" si="44"/>
        <v>225</v>
      </c>
      <c r="B227" t="str">
        <f t="shared" si="42"/>
        <v>3b2g4</v>
      </c>
      <c r="D227" s="11">
        <v>7</v>
      </c>
      <c r="E227">
        <f t="shared" si="38"/>
        <v>221</v>
      </c>
      <c r="F227">
        <f t="shared" si="37"/>
        <v>9</v>
      </c>
      <c r="G227" s="1" t="str">
        <f t="shared" si="39"/>
        <v>3.2.2.7</v>
      </c>
      <c r="H227" s="1">
        <f t="shared" si="45"/>
        <v>5</v>
      </c>
      <c r="I227" t="str">
        <f t="shared" si="47"/>
        <v>3.2.2.7.4</v>
      </c>
      <c r="J227" t="s">
        <v>266</v>
      </c>
      <c r="L227" s="1">
        <f t="shared" si="46"/>
        <v>10</v>
      </c>
      <c r="M227" s="1" t="str">
        <f t="shared" si="40"/>
        <v>3.2.2.7</v>
      </c>
      <c r="N227">
        <f t="shared" si="43"/>
        <v>0</v>
      </c>
      <c r="P227" s="13">
        <f t="shared" si="41"/>
        <v>7</v>
      </c>
      <c r="R227">
        <v>6</v>
      </c>
      <c r="S227">
        <v>5</v>
      </c>
      <c r="T227">
        <v>10</v>
      </c>
      <c r="U227">
        <v>7</v>
      </c>
      <c r="V227">
        <v>7</v>
      </c>
      <c r="W227">
        <v>9</v>
      </c>
      <c r="X227">
        <v>6</v>
      </c>
      <c r="Y227">
        <v>7</v>
      </c>
      <c r="Z227">
        <v>6</v>
      </c>
      <c r="AA227">
        <v>7</v>
      </c>
    </row>
    <row r="228" spans="1:27" x14ac:dyDescent="0.25">
      <c r="A228">
        <f t="shared" si="44"/>
        <v>226</v>
      </c>
      <c r="B228" t="str">
        <f t="shared" si="42"/>
        <v>3c</v>
      </c>
      <c r="D228" s="9">
        <v>9</v>
      </c>
      <c r="E228">
        <f t="shared" si="38"/>
        <v>174</v>
      </c>
      <c r="F228">
        <f t="shared" si="37"/>
        <v>3</v>
      </c>
      <c r="G228" s="1" t="str">
        <f t="shared" si="39"/>
        <v>3</v>
      </c>
      <c r="H228" s="1">
        <f t="shared" si="45"/>
        <v>2</v>
      </c>
      <c r="I228" t="str">
        <f t="shared" si="47"/>
        <v>3.3</v>
      </c>
      <c r="J228" t="s">
        <v>267</v>
      </c>
      <c r="L228" s="1">
        <f t="shared" si="46"/>
        <v>4</v>
      </c>
      <c r="M228" s="1" t="str">
        <f t="shared" si="40"/>
        <v>3</v>
      </c>
      <c r="N228">
        <f t="shared" si="43"/>
        <v>0</v>
      </c>
      <c r="P228" s="13">
        <f t="shared" si="41"/>
        <v>8.454545454545455</v>
      </c>
      <c r="R228">
        <v>10</v>
      </c>
      <c r="S228">
        <v>8</v>
      </c>
      <c r="T228">
        <v>8</v>
      </c>
      <c r="U228">
        <v>9</v>
      </c>
      <c r="V228">
        <v>8</v>
      </c>
      <c r="W228">
        <v>6</v>
      </c>
      <c r="X228">
        <v>10</v>
      </c>
      <c r="Y228">
        <v>8</v>
      </c>
      <c r="Z228">
        <v>8</v>
      </c>
      <c r="AA228">
        <v>9</v>
      </c>
    </row>
    <row r="229" spans="1:27" x14ac:dyDescent="0.25">
      <c r="A229">
        <f t="shared" si="44"/>
        <v>227</v>
      </c>
      <c r="B229" t="str">
        <f t="shared" si="42"/>
        <v>3c1</v>
      </c>
      <c r="D229" s="10">
        <v>9</v>
      </c>
      <c r="E229">
        <f t="shared" si="38"/>
        <v>226</v>
      </c>
      <c r="F229">
        <f t="shared" si="37"/>
        <v>5</v>
      </c>
      <c r="G229" s="1" t="str">
        <f t="shared" si="39"/>
        <v>3.3</v>
      </c>
      <c r="H229" s="1">
        <f t="shared" si="45"/>
        <v>3</v>
      </c>
      <c r="I229" t="str">
        <f t="shared" si="47"/>
        <v>3.3.1</v>
      </c>
      <c r="J229" t="s">
        <v>268</v>
      </c>
      <c r="L229" s="1">
        <f t="shared" si="46"/>
        <v>6</v>
      </c>
      <c r="M229" s="1" t="str">
        <f t="shared" si="40"/>
        <v>3.3</v>
      </c>
      <c r="N229">
        <f t="shared" si="43"/>
        <v>0</v>
      </c>
      <c r="P229" s="13">
        <f t="shared" si="41"/>
        <v>8.454545454545455</v>
      </c>
      <c r="R229">
        <v>9</v>
      </c>
      <c r="S229">
        <v>7</v>
      </c>
      <c r="T229">
        <v>7</v>
      </c>
      <c r="U229">
        <v>9</v>
      </c>
      <c r="V229">
        <v>10</v>
      </c>
      <c r="W229">
        <v>8</v>
      </c>
      <c r="X229">
        <v>7</v>
      </c>
      <c r="Y229">
        <v>8</v>
      </c>
      <c r="Z229">
        <v>10</v>
      </c>
      <c r="AA229">
        <v>9</v>
      </c>
    </row>
    <row r="230" spans="1:27" x14ac:dyDescent="0.25">
      <c r="A230">
        <f t="shared" si="44"/>
        <v>228</v>
      </c>
      <c r="B230" t="str">
        <f t="shared" si="42"/>
        <v>3c2</v>
      </c>
      <c r="D230" s="10">
        <v>9</v>
      </c>
      <c r="E230">
        <f t="shared" si="38"/>
        <v>226</v>
      </c>
      <c r="F230">
        <f t="shared" si="37"/>
        <v>5</v>
      </c>
      <c r="G230" s="1" t="str">
        <f t="shared" si="39"/>
        <v>3.3</v>
      </c>
      <c r="H230" s="1">
        <f t="shared" si="45"/>
        <v>3</v>
      </c>
      <c r="I230" t="str">
        <f t="shared" si="47"/>
        <v>3.3.2</v>
      </c>
      <c r="J230" t="s">
        <v>269</v>
      </c>
      <c r="L230" s="1">
        <f t="shared" si="46"/>
        <v>6</v>
      </c>
      <c r="M230" s="1" t="str">
        <f t="shared" si="40"/>
        <v>3.3</v>
      </c>
      <c r="N230">
        <f t="shared" si="43"/>
        <v>0</v>
      </c>
      <c r="P230" s="13">
        <f t="shared" si="41"/>
        <v>9.0909090909090917</v>
      </c>
      <c r="R230">
        <v>10</v>
      </c>
      <c r="S230">
        <v>10</v>
      </c>
      <c r="T230">
        <v>10</v>
      </c>
      <c r="U230">
        <v>8</v>
      </c>
      <c r="V230">
        <v>9</v>
      </c>
      <c r="W230">
        <v>8</v>
      </c>
      <c r="X230">
        <v>10</v>
      </c>
      <c r="Y230">
        <v>9</v>
      </c>
      <c r="Z230">
        <v>7</v>
      </c>
      <c r="AA230">
        <v>10</v>
      </c>
    </row>
    <row r="231" spans="1:27" x14ac:dyDescent="0.25">
      <c r="A231">
        <f t="shared" si="44"/>
        <v>229</v>
      </c>
      <c r="B231" t="str">
        <f t="shared" si="42"/>
        <v>3c3</v>
      </c>
      <c r="D231" s="10">
        <v>7</v>
      </c>
      <c r="E231">
        <f t="shared" si="38"/>
        <v>226</v>
      </c>
      <c r="F231">
        <f t="shared" si="37"/>
        <v>5</v>
      </c>
      <c r="G231" s="1" t="str">
        <f t="shared" si="39"/>
        <v>3.3</v>
      </c>
      <c r="H231" s="1">
        <f t="shared" si="45"/>
        <v>3</v>
      </c>
      <c r="I231" t="str">
        <f t="shared" si="47"/>
        <v>3.3.3</v>
      </c>
      <c r="J231" t="s">
        <v>270</v>
      </c>
      <c r="L231" s="1">
        <f t="shared" si="46"/>
        <v>6</v>
      </c>
      <c r="M231" s="1" t="str">
        <f t="shared" si="40"/>
        <v>3.3</v>
      </c>
      <c r="N231">
        <f t="shared" si="43"/>
        <v>0</v>
      </c>
      <c r="P231" s="13">
        <f t="shared" si="41"/>
        <v>7.5454545454545459</v>
      </c>
      <c r="R231">
        <v>7</v>
      </c>
      <c r="S231">
        <v>9</v>
      </c>
      <c r="T231">
        <v>7</v>
      </c>
      <c r="U231">
        <v>6</v>
      </c>
      <c r="V231">
        <v>9</v>
      </c>
      <c r="W231">
        <v>8</v>
      </c>
      <c r="X231">
        <v>7</v>
      </c>
      <c r="Y231">
        <v>8</v>
      </c>
      <c r="Z231">
        <v>8</v>
      </c>
      <c r="AA231">
        <v>7</v>
      </c>
    </row>
    <row r="232" spans="1:27" x14ac:dyDescent="0.25">
      <c r="A232">
        <f t="shared" si="44"/>
        <v>230</v>
      </c>
      <c r="B232" t="str">
        <f t="shared" si="42"/>
        <v>3c4</v>
      </c>
      <c r="D232" s="10">
        <v>5</v>
      </c>
      <c r="E232">
        <f t="shared" si="38"/>
        <v>226</v>
      </c>
      <c r="F232">
        <f t="shared" si="37"/>
        <v>5</v>
      </c>
      <c r="G232" s="1" t="str">
        <f t="shared" si="39"/>
        <v>3.3</v>
      </c>
      <c r="H232" s="1">
        <f t="shared" si="45"/>
        <v>3</v>
      </c>
      <c r="I232" t="str">
        <f t="shared" si="47"/>
        <v>3.3.4</v>
      </c>
      <c r="J232" t="s">
        <v>271</v>
      </c>
      <c r="L232" s="1">
        <f t="shared" si="46"/>
        <v>6</v>
      </c>
      <c r="M232" s="1" t="str">
        <f t="shared" si="40"/>
        <v>3.3</v>
      </c>
      <c r="N232">
        <f t="shared" si="43"/>
        <v>0</v>
      </c>
      <c r="P232" s="13">
        <f t="shared" si="41"/>
        <v>5.3636363636363633</v>
      </c>
      <c r="R232">
        <v>6</v>
      </c>
      <c r="S232">
        <v>8</v>
      </c>
      <c r="T232">
        <v>6</v>
      </c>
      <c r="U232">
        <v>4</v>
      </c>
      <c r="V232">
        <v>5</v>
      </c>
      <c r="W232">
        <v>5</v>
      </c>
      <c r="X232">
        <v>4</v>
      </c>
      <c r="Y232">
        <v>7</v>
      </c>
      <c r="Z232">
        <v>4</v>
      </c>
      <c r="AA232">
        <v>5</v>
      </c>
    </row>
    <row r="233" spans="1:27" x14ac:dyDescent="0.25">
      <c r="A233">
        <f t="shared" si="44"/>
        <v>231</v>
      </c>
      <c r="B233" t="str">
        <f t="shared" si="42"/>
        <v>3d</v>
      </c>
      <c r="D233" s="9">
        <v>10</v>
      </c>
      <c r="E233">
        <f t="shared" si="38"/>
        <v>174</v>
      </c>
      <c r="F233">
        <f t="shared" si="37"/>
        <v>3</v>
      </c>
      <c r="G233" s="1" t="str">
        <f t="shared" si="39"/>
        <v>3</v>
      </c>
      <c r="H233" s="1">
        <f t="shared" si="45"/>
        <v>2</v>
      </c>
      <c r="I233" t="str">
        <f t="shared" si="47"/>
        <v>3.4</v>
      </c>
      <c r="J233" t="s">
        <v>272</v>
      </c>
      <c r="L233" s="1">
        <f t="shared" si="46"/>
        <v>4</v>
      </c>
      <c r="M233" s="1" t="str">
        <f t="shared" si="40"/>
        <v>3</v>
      </c>
      <c r="N233">
        <f t="shared" si="43"/>
        <v>0</v>
      </c>
      <c r="P233" s="13">
        <f t="shared" si="41"/>
        <v>9.545454545454545</v>
      </c>
      <c r="R233">
        <v>10</v>
      </c>
      <c r="S233">
        <v>9</v>
      </c>
      <c r="T233">
        <v>9</v>
      </c>
      <c r="U233">
        <v>10</v>
      </c>
      <c r="V233">
        <v>7</v>
      </c>
      <c r="W233">
        <v>10</v>
      </c>
      <c r="X233">
        <v>10</v>
      </c>
      <c r="Y233">
        <v>10</v>
      </c>
      <c r="Z233">
        <v>10</v>
      </c>
      <c r="AA233">
        <v>10</v>
      </c>
    </row>
    <row r="234" spans="1:27" x14ac:dyDescent="0.25">
      <c r="A234">
        <f t="shared" si="44"/>
        <v>232</v>
      </c>
      <c r="B234" t="str">
        <f t="shared" si="42"/>
        <v>3d1</v>
      </c>
      <c r="D234" s="10">
        <v>10</v>
      </c>
      <c r="E234">
        <f t="shared" si="38"/>
        <v>231</v>
      </c>
      <c r="F234">
        <f t="shared" si="37"/>
        <v>5</v>
      </c>
      <c r="G234" s="1" t="str">
        <f t="shared" si="39"/>
        <v>3.4</v>
      </c>
      <c r="H234" s="1">
        <f t="shared" si="45"/>
        <v>3</v>
      </c>
      <c r="I234" t="str">
        <f t="shared" si="47"/>
        <v>3.4.1</v>
      </c>
      <c r="J234" t="s">
        <v>273</v>
      </c>
      <c r="L234" s="1">
        <f t="shared" si="46"/>
        <v>6</v>
      </c>
      <c r="M234" s="1" t="str">
        <f t="shared" si="40"/>
        <v>3.4</v>
      </c>
      <c r="N234">
        <f t="shared" si="43"/>
        <v>0</v>
      </c>
      <c r="P234" s="13">
        <f t="shared" si="41"/>
        <v>9.545454545454545</v>
      </c>
      <c r="R234">
        <v>10</v>
      </c>
      <c r="S234">
        <v>9</v>
      </c>
      <c r="T234">
        <v>10</v>
      </c>
      <c r="U234">
        <v>10</v>
      </c>
      <c r="V234">
        <v>10</v>
      </c>
      <c r="W234">
        <v>9</v>
      </c>
      <c r="X234">
        <v>10</v>
      </c>
      <c r="Y234">
        <v>9</v>
      </c>
      <c r="Z234">
        <v>8</v>
      </c>
      <c r="AA234">
        <v>10</v>
      </c>
    </row>
    <row r="235" spans="1:27" x14ac:dyDescent="0.25">
      <c r="A235">
        <f t="shared" si="44"/>
        <v>233</v>
      </c>
      <c r="B235" t="str">
        <f t="shared" si="42"/>
        <v>3d2</v>
      </c>
      <c r="D235" s="10">
        <v>9</v>
      </c>
      <c r="E235">
        <f t="shared" si="38"/>
        <v>231</v>
      </c>
      <c r="F235">
        <f t="shared" si="37"/>
        <v>5</v>
      </c>
      <c r="G235" s="1" t="str">
        <f t="shared" si="39"/>
        <v>3.4</v>
      </c>
      <c r="H235" s="1">
        <f t="shared" si="45"/>
        <v>3</v>
      </c>
      <c r="I235" t="str">
        <f t="shared" si="47"/>
        <v>3.4.2</v>
      </c>
      <c r="J235" t="s">
        <v>274</v>
      </c>
      <c r="L235" s="1">
        <f t="shared" si="46"/>
        <v>6</v>
      </c>
      <c r="M235" s="1" t="str">
        <f t="shared" si="40"/>
        <v>3.4</v>
      </c>
      <c r="N235">
        <f t="shared" si="43"/>
        <v>0</v>
      </c>
      <c r="P235" s="13">
        <f t="shared" si="41"/>
        <v>8.9090909090909083</v>
      </c>
      <c r="R235">
        <v>8</v>
      </c>
      <c r="S235">
        <v>9</v>
      </c>
      <c r="T235">
        <v>10</v>
      </c>
      <c r="U235">
        <v>10</v>
      </c>
      <c r="V235">
        <v>7</v>
      </c>
      <c r="W235">
        <v>10</v>
      </c>
      <c r="X235">
        <v>8</v>
      </c>
      <c r="Y235">
        <v>10</v>
      </c>
      <c r="Z235">
        <v>7</v>
      </c>
      <c r="AA235">
        <v>10</v>
      </c>
    </row>
    <row r="236" spans="1:27" x14ac:dyDescent="0.25">
      <c r="A236">
        <f t="shared" si="44"/>
        <v>234</v>
      </c>
      <c r="B236" t="str">
        <f t="shared" si="42"/>
        <v>3d3</v>
      </c>
      <c r="D236" s="10">
        <v>8</v>
      </c>
      <c r="E236">
        <f t="shared" si="38"/>
        <v>231</v>
      </c>
      <c r="F236">
        <f t="shared" si="37"/>
        <v>5</v>
      </c>
      <c r="G236" s="1" t="str">
        <f t="shared" si="39"/>
        <v>3.4</v>
      </c>
      <c r="H236" s="1">
        <f t="shared" si="45"/>
        <v>3</v>
      </c>
      <c r="I236" t="str">
        <f t="shared" si="47"/>
        <v>3.4.3</v>
      </c>
      <c r="J236" t="s">
        <v>275</v>
      </c>
      <c r="L236" s="1">
        <f t="shared" si="46"/>
        <v>6</v>
      </c>
      <c r="M236" s="1" t="str">
        <f t="shared" si="40"/>
        <v>3.4</v>
      </c>
      <c r="N236">
        <f t="shared" si="43"/>
        <v>0</v>
      </c>
      <c r="P236" s="13">
        <f t="shared" si="41"/>
        <v>7.7272727272727275</v>
      </c>
      <c r="R236">
        <v>7</v>
      </c>
      <c r="S236">
        <v>8</v>
      </c>
      <c r="T236">
        <v>8</v>
      </c>
      <c r="U236">
        <v>9</v>
      </c>
      <c r="V236">
        <v>5</v>
      </c>
      <c r="W236">
        <v>9</v>
      </c>
      <c r="X236">
        <v>8</v>
      </c>
      <c r="Y236">
        <v>9</v>
      </c>
      <c r="Z236">
        <v>7</v>
      </c>
      <c r="AA236">
        <v>7</v>
      </c>
    </row>
    <row r="237" spans="1:27" x14ac:dyDescent="0.25">
      <c r="A237">
        <f t="shared" si="44"/>
        <v>235</v>
      </c>
      <c r="B237" t="str">
        <f t="shared" si="42"/>
        <v>3d4</v>
      </c>
      <c r="D237" s="10">
        <v>5</v>
      </c>
      <c r="E237">
        <f t="shared" si="38"/>
        <v>231</v>
      </c>
      <c r="F237">
        <f t="shared" si="37"/>
        <v>5</v>
      </c>
      <c r="G237" s="1" t="str">
        <f t="shared" si="39"/>
        <v>3.4</v>
      </c>
      <c r="H237" s="1">
        <f t="shared" si="45"/>
        <v>3</v>
      </c>
      <c r="I237" t="str">
        <f t="shared" si="47"/>
        <v>3.4.4</v>
      </c>
      <c r="J237" t="s">
        <v>276</v>
      </c>
      <c r="L237" s="1">
        <f t="shared" si="46"/>
        <v>6</v>
      </c>
      <c r="M237" s="1" t="str">
        <f t="shared" si="40"/>
        <v>3.4</v>
      </c>
      <c r="N237">
        <f t="shared" si="43"/>
        <v>0</v>
      </c>
      <c r="P237" s="13">
        <f t="shared" si="41"/>
        <v>4.5454545454545459</v>
      </c>
      <c r="R237">
        <v>5</v>
      </c>
      <c r="S237">
        <v>5</v>
      </c>
      <c r="T237">
        <v>4</v>
      </c>
      <c r="U237">
        <v>5</v>
      </c>
      <c r="V237">
        <v>4</v>
      </c>
      <c r="W237">
        <v>5</v>
      </c>
      <c r="X237">
        <v>5</v>
      </c>
      <c r="Y237">
        <v>3</v>
      </c>
      <c r="Z237">
        <v>5</v>
      </c>
      <c r="AA237">
        <v>4</v>
      </c>
    </row>
    <row r="238" spans="1:27" x14ac:dyDescent="0.25">
      <c r="A238">
        <f t="shared" si="44"/>
        <v>236</v>
      </c>
      <c r="B238" t="str">
        <f t="shared" si="42"/>
        <v>3e</v>
      </c>
      <c r="D238" s="9">
        <v>7</v>
      </c>
      <c r="E238">
        <f t="shared" si="38"/>
        <v>174</v>
      </c>
      <c r="F238">
        <f t="shared" si="37"/>
        <v>3</v>
      </c>
      <c r="G238" s="1" t="str">
        <f t="shared" si="39"/>
        <v>3</v>
      </c>
      <c r="H238" s="1">
        <f t="shared" si="45"/>
        <v>2</v>
      </c>
      <c r="I238" t="str">
        <f t="shared" si="47"/>
        <v>3.5</v>
      </c>
      <c r="J238" t="s">
        <v>277</v>
      </c>
      <c r="L238" s="1">
        <f t="shared" si="46"/>
        <v>4</v>
      </c>
      <c r="M238" s="1" t="str">
        <f t="shared" si="40"/>
        <v>3</v>
      </c>
      <c r="N238">
        <f t="shared" si="43"/>
        <v>0</v>
      </c>
      <c r="P238" s="13">
        <f t="shared" si="41"/>
        <v>6.4545454545454541</v>
      </c>
      <c r="R238">
        <v>8</v>
      </c>
      <c r="S238">
        <v>5</v>
      </c>
      <c r="T238">
        <v>3</v>
      </c>
      <c r="U238">
        <v>7</v>
      </c>
      <c r="V238">
        <v>7</v>
      </c>
      <c r="W238">
        <v>7</v>
      </c>
      <c r="X238">
        <v>6</v>
      </c>
      <c r="Y238">
        <v>7</v>
      </c>
      <c r="Z238">
        <v>7</v>
      </c>
      <c r="AA238">
        <v>7</v>
      </c>
    </row>
    <row r="239" spans="1:27" x14ac:dyDescent="0.25">
      <c r="A239">
        <f t="shared" si="44"/>
        <v>237</v>
      </c>
      <c r="B239" t="str">
        <f t="shared" si="42"/>
        <v>3e1</v>
      </c>
      <c r="D239" s="10">
        <v>10</v>
      </c>
      <c r="E239">
        <f t="shared" si="38"/>
        <v>236</v>
      </c>
      <c r="F239">
        <f t="shared" si="37"/>
        <v>5</v>
      </c>
      <c r="G239" s="1" t="str">
        <f t="shared" si="39"/>
        <v>3.5</v>
      </c>
      <c r="H239" s="1">
        <f t="shared" si="45"/>
        <v>3</v>
      </c>
      <c r="I239" t="str">
        <f t="shared" si="47"/>
        <v>3.5.1</v>
      </c>
      <c r="J239" t="s">
        <v>50</v>
      </c>
      <c r="L239" s="1">
        <f t="shared" si="46"/>
        <v>6</v>
      </c>
      <c r="M239" s="1" t="str">
        <f t="shared" si="40"/>
        <v>3.5</v>
      </c>
      <c r="N239">
        <f t="shared" si="43"/>
        <v>0</v>
      </c>
      <c r="P239" s="13">
        <f t="shared" si="41"/>
        <v>9.8181818181818183</v>
      </c>
      <c r="R239">
        <v>10</v>
      </c>
      <c r="S239">
        <v>10</v>
      </c>
      <c r="T239">
        <v>10</v>
      </c>
      <c r="U239">
        <v>10</v>
      </c>
      <c r="V239">
        <v>10</v>
      </c>
      <c r="W239">
        <v>10</v>
      </c>
      <c r="X239">
        <v>10</v>
      </c>
      <c r="Y239">
        <v>8</v>
      </c>
      <c r="Z239">
        <v>10</v>
      </c>
      <c r="AA239">
        <v>10</v>
      </c>
    </row>
    <row r="240" spans="1:27" x14ac:dyDescent="0.25">
      <c r="A240">
        <f t="shared" si="44"/>
        <v>238</v>
      </c>
      <c r="B240" t="str">
        <f t="shared" si="42"/>
        <v>3e2</v>
      </c>
      <c r="D240" s="10">
        <v>9</v>
      </c>
      <c r="E240">
        <f t="shared" si="38"/>
        <v>236</v>
      </c>
      <c r="F240">
        <f t="shared" si="37"/>
        <v>5</v>
      </c>
      <c r="G240" s="1" t="str">
        <f t="shared" si="39"/>
        <v>3.5</v>
      </c>
      <c r="H240" s="1">
        <f t="shared" si="45"/>
        <v>3</v>
      </c>
      <c r="I240" t="str">
        <f t="shared" si="47"/>
        <v>3.5.2</v>
      </c>
      <c r="J240" t="s">
        <v>51</v>
      </c>
      <c r="L240" s="1">
        <f t="shared" si="46"/>
        <v>6</v>
      </c>
      <c r="M240" s="1" t="str">
        <f t="shared" si="40"/>
        <v>3.5</v>
      </c>
      <c r="N240">
        <f t="shared" si="43"/>
        <v>0</v>
      </c>
      <c r="P240" s="13">
        <f t="shared" si="41"/>
        <v>9</v>
      </c>
      <c r="R240">
        <v>10</v>
      </c>
      <c r="S240">
        <v>9</v>
      </c>
      <c r="T240">
        <v>8</v>
      </c>
      <c r="U240">
        <v>10</v>
      </c>
      <c r="V240">
        <v>10</v>
      </c>
      <c r="W240">
        <v>8</v>
      </c>
      <c r="X240">
        <v>8</v>
      </c>
      <c r="Y240">
        <v>8</v>
      </c>
      <c r="Z240">
        <v>10</v>
      </c>
      <c r="AA240">
        <v>9</v>
      </c>
    </row>
    <row r="241" spans="1:27" x14ac:dyDescent="0.25">
      <c r="A241">
        <f t="shared" si="44"/>
        <v>239</v>
      </c>
      <c r="B241" t="str">
        <f t="shared" si="42"/>
        <v>3e3</v>
      </c>
      <c r="D241" s="10">
        <v>8</v>
      </c>
      <c r="E241">
        <f t="shared" si="38"/>
        <v>236</v>
      </c>
      <c r="F241">
        <f t="shared" si="37"/>
        <v>5</v>
      </c>
      <c r="G241" s="1" t="str">
        <f t="shared" si="39"/>
        <v>3.5</v>
      </c>
      <c r="H241" s="1">
        <f t="shared" si="45"/>
        <v>3</v>
      </c>
      <c r="I241" t="str">
        <f t="shared" si="47"/>
        <v>3.5.3</v>
      </c>
      <c r="J241" t="s">
        <v>52</v>
      </c>
      <c r="L241" s="1">
        <f t="shared" si="46"/>
        <v>6</v>
      </c>
      <c r="M241" s="1" t="str">
        <f t="shared" si="40"/>
        <v>3.5</v>
      </c>
      <c r="N241">
        <f t="shared" si="43"/>
        <v>0</v>
      </c>
      <c r="P241" s="13">
        <f t="shared" si="41"/>
        <v>8.2727272727272734</v>
      </c>
      <c r="R241">
        <v>9</v>
      </c>
      <c r="S241">
        <v>10</v>
      </c>
      <c r="T241">
        <v>7</v>
      </c>
      <c r="U241">
        <v>8</v>
      </c>
      <c r="V241">
        <v>10</v>
      </c>
      <c r="W241">
        <v>6</v>
      </c>
      <c r="X241">
        <v>8</v>
      </c>
      <c r="Y241">
        <v>10</v>
      </c>
      <c r="Z241">
        <v>8</v>
      </c>
      <c r="AA241">
        <v>7</v>
      </c>
    </row>
    <row r="242" spans="1:27" x14ac:dyDescent="0.25">
      <c r="A242">
        <f t="shared" si="44"/>
        <v>240</v>
      </c>
      <c r="B242" t="str">
        <f t="shared" si="42"/>
        <v>3e4</v>
      </c>
      <c r="D242" s="10">
        <v>8</v>
      </c>
      <c r="E242">
        <f t="shared" si="38"/>
        <v>236</v>
      </c>
      <c r="F242">
        <f t="shared" si="37"/>
        <v>5</v>
      </c>
      <c r="G242" s="1" t="str">
        <f t="shared" si="39"/>
        <v>3.5</v>
      </c>
      <c r="H242" s="1">
        <f t="shared" si="45"/>
        <v>3</v>
      </c>
      <c r="I242" t="str">
        <f t="shared" si="47"/>
        <v>3.5.4</v>
      </c>
      <c r="J242" t="s">
        <v>53</v>
      </c>
      <c r="L242" s="1">
        <f t="shared" si="46"/>
        <v>6</v>
      </c>
      <c r="M242" s="1" t="str">
        <f t="shared" si="40"/>
        <v>3.5</v>
      </c>
      <c r="N242">
        <f t="shared" si="43"/>
        <v>0</v>
      </c>
      <c r="P242" s="13">
        <f t="shared" si="41"/>
        <v>7.9090909090909092</v>
      </c>
      <c r="R242">
        <v>8</v>
      </c>
      <c r="S242">
        <v>9</v>
      </c>
      <c r="T242">
        <v>8</v>
      </c>
      <c r="U242">
        <v>9</v>
      </c>
      <c r="V242">
        <v>6</v>
      </c>
      <c r="W242">
        <v>7</v>
      </c>
      <c r="X242">
        <v>8</v>
      </c>
      <c r="Y242">
        <v>8</v>
      </c>
      <c r="Z242">
        <v>8</v>
      </c>
      <c r="AA242">
        <v>8</v>
      </c>
    </row>
    <row r="243" spans="1:27" x14ac:dyDescent="0.25">
      <c r="A243">
        <f t="shared" si="44"/>
        <v>241</v>
      </c>
      <c r="B243" t="str">
        <f t="shared" si="42"/>
        <v>3e5</v>
      </c>
      <c r="D243" s="10">
        <v>7</v>
      </c>
      <c r="E243">
        <f t="shared" si="38"/>
        <v>236</v>
      </c>
      <c r="F243">
        <f t="shared" si="37"/>
        <v>5</v>
      </c>
      <c r="G243" s="1" t="str">
        <f t="shared" si="39"/>
        <v>3.5</v>
      </c>
      <c r="H243" s="1">
        <f t="shared" si="45"/>
        <v>3</v>
      </c>
      <c r="I243" t="str">
        <f t="shared" si="47"/>
        <v>3.5.5</v>
      </c>
      <c r="J243" t="s">
        <v>54</v>
      </c>
      <c r="L243" s="1">
        <f t="shared" si="46"/>
        <v>6</v>
      </c>
      <c r="M243" s="1" t="str">
        <f t="shared" si="40"/>
        <v>3.5</v>
      </c>
      <c r="N243">
        <f t="shared" si="43"/>
        <v>0</v>
      </c>
      <c r="P243" s="13">
        <f t="shared" si="41"/>
        <v>7.5454545454545459</v>
      </c>
      <c r="R243">
        <v>9</v>
      </c>
      <c r="S243">
        <v>7</v>
      </c>
      <c r="T243">
        <v>7</v>
      </c>
      <c r="U243">
        <v>8</v>
      </c>
      <c r="V243">
        <v>8</v>
      </c>
      <c r="W243">
        <v>7</v>
      </c>
      <c r="X243">
        <v>6</v>
      </c>
      <c r="Y243">
        <v>8</v>
      </c>
      <c r="Z243">
        <v>8</v>
      </c>
      <c r="AA243">
        <v>8</v>
      </c>
    </row>
    <row r="244" spans="1:27" x14ac:dyDescent="0.25">
      <c r="A244">
        <f t="shared" si="44"/>
        <v>242</v>
      </c>
      <c r="B244" t="str">
        <f t="shared" si="42"/>
        <v>3f</v>
      </c>
      <c r="D244" s="9">
        <v>7</v>
      </c>
      <c r="E244">
        <f t="shared" si="38"/>
        <v>174</v>
      </c>
      <c r="F244">
        <f t="shared" si="37"/>
        <v>3</v>
      </c>
      <c r="G244" s="1" t="str">
        <f t="shared" si="39"/>
        <v>3</v>
      </c>
      <c r="H244" s="1">
        <f t="shared" si="45"/>
        <v>2</v>
      </c>
      <c r="I244" t="str">
        <f t="shared" si="47"/>
        <v>3.6</v>
      </c>
      <c r="J244" t="s">
        <v>278</v>
      </c>
      <c r="L244" s="1">
        <f t="shared" si="46"/>
        <v>4</v>
      </c>
      <c r="M244" s="1" t="str">
        <f t="shared" si="40"/>
        <v>3</v>
      </c>
      <c r="N244">
        <f t="shared" si="43"/>
        <v>0</v>
      </c>
      <c r="P244" s="13">
        <f t="shared" si="41"/>
        <v>6.4545454545454541</v>
      </c>
      <c r="R244">
        <v>7</v>
      </c>
      <c r="S244">
        <v>6</v>
      </c>
      <c r="T244">
        <v>10</v>
      </c>
      <c r="U244">
        <v>7</v>
      </c>
      <c r="V244">
        <v>-1</v>
      </c>
      <c r="W244">
        <v>7</v>
      </c>
      <c r="X244">
        <v>8</v>
      </c>
      <c r="Y244">
        <v>7</v>
      </c>
      <c r="Z244">
        <v>6</v>
      </c>
      <c r="AA244">
        <v>7</v>
      </c>
    </row>
    <row r="245" spans="1:27" x14ac:dyDescent="0.25">
      <c r="A245">
        <f t="shared" si="44"/>
        <v>243</v>
      </c>
      <c r="B245" t="str">
        <f t="shared" si="42"/>
        <v>3f1</v>
      </c>
      <c r="D245" s="10">
        <v>9</v>
      </c>
      <c r="E245">
        <f t="shared" si="38"/>
        <v>242</v>
      </c>
      <c r="F245">
        <f t="shared" si="37"/>
        <v>5</v>
      </c>
      <c r="G245" s="1" t="str">
        <f t="shared" si="39"/>
        <v>3.6</v>
      </c>
      <c r="H245" s="1">
        <f t="shared" si="45"/>
        <v>3</v>
      </c>
      <c r="I245" t="str">
        <f t="shared" si="47"/>
        <v>3.6.1</v>
      </c>
      <c r="J245" t="s">
        <v>55</v>
      </c>
      <c r="L245" s="1">
        <f t="shared" si="46"/>
        <v>6</v>
      </c>
      <c r="M245" s="1" t="str">
        <f t="shared" si="40"/>
        <v>3.6</v>
      </c>
      <c r="N245">
        <f t="shared" si="43"/>
        <v>0</v>
      </c>
      <c r="P245" s="13">
        <f t="shared" si="41"/>
        <v>9.3636363636363633</v>
      </c>
      <c r="R245">
        <v>8</v>
      </c>
      <c r="S245">
        <v>8</v>
      </c>
      <c r="T245">
        <v>10</v>
      </c>
      <c r="U245">
        <v>9</v>
      </c>
      <c r="V245">
        <v>10</v>
      </c>
      <c r="W245">
        <v>9</v>
      </c>
      <c r="X245">
        <v>10</v>
      </c>
      <c r="Y245">
        <v>10</v>
      </c>
      <c r="Z245">
        <v>10</v>
      </c>
      <c r="AA245">
        <v>10</v>
      </c>
    </row>
    <row r="246" spans="1:27" x14ac:dyDescent="0.25">
      <c r="A246">
        <f t="shared" si="44"/>
        <v>244</v>
      </c>
      <c r="B246" t="str">
        <f t="shared" si="42"/>
        <v>3f2</v>
      </c>
      <c r="D246" s="10">
        <v>7</v>
      </c>
      <c r="E246">
        <f t="shared" si="38"/>
        <v>242</v>
      </c>
      <c r="F246">
        <f t="shared" si="37"/>
        <v>5</v>
      </c>
      <c r="G246" s="1" t="str">
        <f t="shared" si="39"/>
        <v>3.6</v>
      </c>
      <c r="H246" s="1">
        <f t="shared" si="45"/>
        <v>3</v>
      </c>
      <c r="I246" t="str">
        <f t="shared" si="47"/>
        <v>3.6.2</v>
      </c>
      <c r="J246" t="s">
        <v>56</v>
      </c>
      <c r="L246" s="1">
        <f t="shared" si="46"/>
        <v>6</v>
      </c>
      <c r="M246" s="1" t="str">
        <f t="shared" si="40"/>
        <v>3.6</v>
      </c>
      <c r="N246">
        <f t="shared" si="43"/>
        <v>0</v>
      </c>
      <c r="P246" s="13">
        <f t="shared" si="41"/>
        <v>6.4545454545454541</v>
      </c>
      <c r="R246">
        <v>8</v>
      </c>
      <c r="S246">
        <v>5</v>
      </c>
      <c r="T246">
        <v>4</v>
      </c>
      <c r="U246">
        <v>8</v>
      </c>
      <c r="V246">
        <v>7</v>
      </c>
      <c r="W246">
        <v>5</v>
      </c>
      <c r="X246">
        <v>6</v>
      </c>
      <c r="Y246">
        <v>5</v>
      </c>
      <c r="Z246">
        <v>10</v>
      </c>
      <c r="AA246">
        <v>6</v>
      </c>
    </row>
    <row r="247" spans="1:27" x14ac:dyDescent="0.25">
      <c r="A247">
        <f t="shared" si="44"/>
        <v>245</v>
      </c>
      <c r="B247" t="str">
        <f t="shared" si="42"/>
        <v>3f3</v>
      </c>
      <c r="D247" s="10">
        <v>9</v>
      </c>
      <c r="E247">
        <f t="shared" si="38"/>
        <v>242</v>
      </c>
      <c r="F247">
        <f t="shared" si="37"/>
        <v>5</v>
      </c>
      <c r="G247" s="1" t="str">
        <f t="shared" si="39"/>
        <v>3.6</v>
      </c>
      <c r="H247" s="1">
        <f t="shared" si="45"/>
        <v>3</v>
      </c>
      <c r="I247" t="str">
        <f t="shared" si="47"/>
        <v>3.6.3</v>
      </c>
      <c r="J247" t="s">
        <v>57</v>
      </c>
      <c r="L247" s="1">
        <f t="shared" si="46"/>
        <v>6</v>
      </c>
      <c r="M247" s="1" t="str">
        <f t="shared" si="40"/>
        <v>3.6</v>
      </c>
      <c r="N247">
        <f t="shared" si="43"/>
        <v>0</v>
      </c>
      <c r="P247" s="13">
        <f t="shared" si="41"/>
        <v>8.2727272727272734</v>
      </c>
      <c r="R247">
        <v>8</v>
      </c>
      <c r="S247">
        <v>9</v>
      </c>
      <c r="T247">
        <v>10</v>
      </c>
      <c r="U247">
        <v>7</v>
      </c>
      <c r="V247">
        <v>6</v>
      </c>
      <c r="W247">
        <v>7</v>
      </c>
      <c r="X247">
        <v>9</v>
      </c>
      <c r="Y247">
        <v>7</v>
      </c>
      <c r="Z247">
        <v>10</v>
      </c>
      <c r="AA247">
        <v>9</v>
      </c>
    </row>
    <row r="248" spans="1:27" x14ac:dyDescent="0.25">
      <c r="A248">
        <f t="shared" si="44"/>
        <v>246</v>
      </c>
      <c r="B248" t="str">
        <f t="shared" si="42"/>
        <v>3f4</v>
      </c>
      <c r="D248" s="10">
        <v>10</v>
      </c>
      <c r="E248">
        <f t="shared" si="38"/>
        <v>242</v>
      </c>
      <c r="F248">
        <f t="shared" si="37"/>
        <v>5</v>
      </c>
      <c r="G248" s="1" t="str">
        <f t="shared" si="39"/>
        <v>3.6</v>
      </c>
      <c r="H248" s="1">
        <f t="shared" si="45"/>
        <v>3</v>
      </c>
      <c r="I248" t="str">
        <f t="shared" si="47"/>
        <v>3.6.4</v>
      </c>
      <c r="J248" t="s">
        <v>58</v>
      </c>
      <c r="L248" s="1">
        <f t="shared" si="46"/>
        <v>6</v>
      </c>
      <c r="M248" s="1" t="str">
        <f t="shared" si="40"/>
        <v>3.6</v>
      </c>
      <c r="N248">
        <f t="shared" si="43"/>
        <v>0</v>
      </c>
      <c r="P248" s="13">
        <f t="shared" si="41"/>
        <v>9.545454545454545</v>
      </c>
      <c r="R248">
        <v>8</v>
      </c>
      <c r="S248">
        <v>10</v>
      </c>
      <c r="T248">
        <v>10</v>
      </c>
      <c r="U248">
        <v>10</v>
      </c>
      <c r="V248">
        <v>10</v>
      </c>
      <c r="W248">
        <v>9</v>
      </c>
      <c r="X248">
        <v>9</v>
      </c>
      <c r="Y248">
        <v>10</v>
      </c>
      <c r="Z248">
        <v>10</v>
      </c>
      <c r="AA248">
        <v>9</v>
      </c>
    </row>
    <row r="249" spans="1:27" x14ac:dyDescent="0.25">
      <c r="A249">
        <f t="shared" si="44"/>
        <v>247</v>
      </c>
      <c r="B249" t="str">
        <f t="shared" si="42"/>
        <v>4</v>
      </c>
      <c r="D249" s="8">
        <v>9</v>
      </c>
      <c r="E249">
        <f t="shared" si="38"/>
        <v>0</v>
      </c>
      <c r="F249">
        <f t="shared" si="37"/>
        <v>1</v>
      </c>
      <c r="G249" s="1">
        <f t="shared" si="39"/>
        <v>0</v>
      </c>
      <c r="H249" s="1">
        <f t="shared" si="45"/>
        <v>1</v>
      </c>
      <c r="I249" t="str">
        <f t="shared" si="47"/>
        <v>4</v>
      </c>
      <c r="J249" t="s">
        <v>279</v>
      </c>
      <c r="L249" s="1">
        <f t="shared" si="46"/>
        <v>2</v>
      </c>
      <c r="M249" s="1">
        <f t="shared" si="40"/>
        <v>0</v>
      </c>
      <c r="N249">
        <f t="shared" si="43"/>
        <v>0</v>
      </c>
      <c r="P249" s="13">
        <f t="shared" si="41"/>
        <v>8.6363636363636367</v>
      </c>
      <c r="R249">
        <v>9</v>
      </c>
      <c r="S249">
        <v>7</v>
      </c>
      <c r="T249">
        <v>10</v>
      </c>
      <c r="U249">
        <v>7</v>
      </c>
      <c r="V249">
        <v>9</v>
      </c>
      <c r="W249">
        <v>9</v>
      </c>
      <c r="X249">
        <v>10</v>
      </c>
      <c r="Y249">
        <v>10</v>
      </c>
      <c r="Z249">
        <v>5</v>
      </c>
      <c r="AA249">
        <v>10</v>
      </c>
    </row>
    <row r="250" spans="1:27" x14ac:dyDescent="0.25">
      <c r="A250">
        <f t="shared" si="44"/>
        <v>248</v>
      </c>
      <c r="B250" t="str">
        <f t="shared" si="42"/>
        <v>4a</v>
      </c>
      <c r="D250" s="9">
        <v>10</v>
      </c>
      <c r="E250">
        <f t="shared" si="38"/>
        <v>247</v>
      </c>
      <c r="F250">
        <f t="shared" si="37"/>
        <v>3</v>
      </c>
      <c r="G250" s="1" t="str">
        <f t="shared" si="39"/>
        <v>4</v>
      </c>
      <c r="H250" s="1">
        <f t="shared" si="45"/>
        <v>2</v>
      </c>
      <c r="I250" t="str">
        <f t="shared" si="47"/>
        <v>4.1</v>
      </c>
      <c r="J250" t="s">
        <v>280</v>
      </c>
      <c r="L250" s="1">
        <f t="shared" si="46"/>
        <v>4</v>
      </c>
      <c r="M250" s="1" t="str">
        <f t="shared" si="40"/>
        <v>4</v>
      </c>
      <c r="N250">
        <f t="shared" si="43"/>
        <v>0</v>
      </c>
      <c r="P250" s="13">
        <f t="shared" si="41"/>
        <v>9.6363636363636367</v>
      </c>
      <c r="R250">
        <v>10</v>
      </c>
      <c r="S250">
        <v>10</v>
      </c>
      <c r="T250">
        <v>10</v>
      </c>
      <c r="U250">
        <v>10</v>
      </c>
      <c r="V250">
        <v>10</v>
      </c>
      <c r="W250">
        <v>10</v>
      </c>
      <c r="X250">
        <v>10</v>
      </c>
      <c r="Y250">
        <v>10</v>
      </c>
      <c r="Z250">
        <v>6</v>
      </c>
      <c r="AA250">
        <v>10</v>
      </c>
    </row>
    <row r="251" spans="1:27" x14ac:dyDescent="0.25">
      <c r="A251">
        <f t="shared" si="44"/>
        <v>249</v>
      </c>
      <c r="B251" t="str">
        <f t="shared" si="42"/>
        <v>4a1</v>
      </c>
      <c r="D251" s="10">
        <v>9</v>
      </c>
      <c r="E251">
        <f t="shared" si="38"/>
        <v>248</v>
      </c>
      <c r="F251">
        <f t="shared" si="37"/>
        <v>5</v>
      </c>
      <c r="G251" s="1" t="str">
        <f t="shared" si="39"/>
        <v>4.1</v>
      </c>
      <c r="H251" s="1">
        <f t="shared" si="45"/>
        <v>3</v>
      </c>
      <c r="I251" t="str">
        <f t="shared" si="47"/>
        <v>4.1.1</v>
      </c>
      <c r="J251" t="s">
        <v>281</v>
      </c>
      <c r="L251" s="1">
        <f t="shared" si="46"/>
        <v>6</v>
      </c>
      <c r="M251" s="1" t="str">
        <f t="shared" si="40"/>
        <v>4.1</v>
      </c>
      <c r="N251">
        <f t="shared" si="43"/>
        <v>0</v>
      </c>
      <c r="P251" s="13">
        <f t="shared" si="41"/>
        <v>9.2727272727272734</v>
      </c>
      <c r="R251">
        <v>10</v>
      </c>
      <c r="S251">
        <v>10</v>
      </c>
      <c r="T251">
        <v>10</v>
      </c>
      <c r="U251">
        <v>8</v>
      </c>
      <c r="V251">
        <v>7</v>
      </c>
      <c r="W251">
        <v>10</v>
      </c>
      <c r="X251">
        <v>9</v>
      </c>
      <c r="Y251">
        <v>10</v>
      </c>
      <c r="Z251">
        <v>10</v>
      </c>
      <c r="AA251">
        <v>9</v>
      </c>
    </row>
    <row r="252" spans="1:27" x14ac:dyDescent="0.25">
      <c r="A252">
        <f t="shared" si="44"/>
        <v>250</v>
      </c>
      <c r="B252" t="str">
        <f t="shared" si="42"/>
        <v>4a2</v>
      </c>
      <c r="D252" s="10">
        <v>10</v>
      </c>
      <c r="E252">
        <f t="shared" si="38"/>
        <v>248</v>
      </c>
      <c r="F252">
        <f t="shared" si="37"/>
        <v>5</v>
      </c>
      <c r="G252" s="1" t="str">
        <f t="shared" si="39"/>
        <v>4.1</v>
      </c>
      <c r="H252" s="1">
        <f t="shared" si="45"/>
        <v>3</v>
      </c>
      <c r="I252" t="str">
        <f t="shared" si="47"/>
        <v>4.1.2</v>
      </c>
      <c r="J252" t="s">
        <v>59</v>
      </c>
      <c r="L252" s="1">
        <f t="shared" si="46"/>
        <v>6</v>
      </c>
      <c r="M252" s="1" t="str">
        <f t="shared" si="40"/>
        <v>4.1</v>
      </c>
      <c r="N252">
        <f t="shared" si="43"/>
        <v>0</v>
      </c>
      <c r="P252" s="13">
        <f t="shared" si="41"/>
        <v>9.2727272727272734</v>
      </c>
      <c r="R252">
        <v>10</v>
      </c>
      <c r="S252">
        <v>9</v>
      </c>
      <c r="T252">
        <v>10</v>
      </c>
      <c r="U252">
        <v>10</v>
      </c>
      <c r="V252">
        <v>8</v>
      </c>
      <c r="W252">
        <v>10</v>
      </c>
      <c r="X252">
        <v>9</v>
      </c>
      <c r="Y252">
        <v>8</v>
      </c>
      <c r="Z252">
        <v>8</v>
      </c>
      <c r="AA252">
        <v>10</v>
      </c>
    </row>
    <row r="253" spans="1:27" x14ac:dyDescent="0.25">
      <c r="A253">
        <f t="shared" si="44"/>
        <v>251</v>
      </c>
      <c r="B253" t="str">
        <f t="shared" si="42"/>
        <v>4a2a</v>
      </c>
      <c r="D253" s="3">
        <v>8</v>
      </c>
      <c r="E253">
        <f t="shared" si="38"/>
        <v>250</v>
      </c>
      <c r="F253">
        <f t="shared" si="37"/>
        <v>7</v>
      </c>
      <c r="G253" s="1" t="str">
        <f t="shared" si="39"/>
        <v>4.1.2</v>
      </c>
      <c r="H253" s="1">
        <f t="shared" si="45"/>
        <v>4</v>
      </c>
      <c r="I253" t="str">
        <f t="shared" si="47"/>
        <v>4.1.2.1</v>
      </c>
      <c r="J253" t="s">
        <v>282</v>
      </c>
      <c r="L253" s="1">
        <f t="shared" si="46"/>
        <v>8</v>
      </c>
      <c r="M253" s="1" t="str">
        <f t="shared" si="40"/>
        <v>4.1.2</v>
      </c>
      <c r="N253">
        <f t="shared" si="43"/>
        <v>0</v>
      </c>
      <c r="P253" s="13">
        <f t="shared" si="41"/>
        <v>8.454545454545455</v>
      </c>
      <c r="R253">
        <v>8</v>
      </c>
      <c r="S253">
        <v>10</v>
      </c>
      <c r="T253">
        <v>10</v>
      </c>
      <c r="U253">
        <v>9</v>
      </c>
      <c r="V253">
        <v>10</v>
      </c>
      <c r="W253">
        <v>7</v>
      </c>
      <c r="X253">
        <v>9</v>
      </c>
      <c r="Y253">
        <v>9</v>
      </c>
      <c r="Z253">
        <v>6</v>
      </c>
      <c r="AA253">
        <v>7</v>
      </c>
    </row>
    <row r="254" spans="1:27" x14ac:dyDescent="0.25">
      <c r="A254">
        <f t="shared" si="44"/>
        <v>252</v>
      </c>
      <c r="B254" t="str">
        <f t="shared" si="42"/>
        <v>4a2b</v>
      </c>
      <c r="D254" s="3">
        <v>9</v>
      </c>
      <c r="E254">
        <f t="shared" si="38"/>
        <v>250</v>
      </c>
      <c r="F254">
        <f t="shared" si="37"/>
        <v>7</v>
      </c>
      <c r="G254" s="1" t="str">
        <f t="shared" si="39"/>
        <v>4.1.2</v>
      </c>
      <c r="H254" s="1">
        <f t="shared" si="45"/>
        <v>4</v>
      </c>
      <c r="I254" t="str">
        <f t="shared" si="47"/>
        <v>4.1.2.2</v>
      </c>
      <c r="J254" t="s">
        <v>283</v>
      </c>
      <c r="L254" s="1">
        <f t="shared" si="46"/>
        <v>8</v>
      </c>
      <c r="M254" s="1" t="str">
        <f t="shared" si="40"/>
        <v>4.1.2</v>
      </c>
      <c r="N254">
        <f t="shared" si="43"/>
        <v>0</v>
      </c>
      <c r="P254" s="13">
        <f t="shared" si="41"/>
        <v>9.1818181818181817</v>
      </c>
      <c r="R254">
        <v>10</v>
      </c>
      <c r="S254">
        <v>10</v>
      </c>
      <c r="T254">
        <v>10</v>
      </c>
      <c r="U254">
        <v>10</v>
      </c>
      <c r="V254">
        <v>9</v>
      </c>
      <c r="W254">
        <v>8</v>
      </c>
      <c r="X254">
        <v>7</v>
      </c>
      <c r="Y254">
        <v>9</v>
      </c>
      <c r="Z254">
        <v>10</v>
      </c>
      <c r="AA254">
        <v>9</v>
      </c>
    </row>
    <row r="255" spans="1:27" x14ac:dyDescent="0.25">
      <c r="A255">
        <f t="shared" si="44"/>
        <v>253</v>
      </c>
      <c r="B255" t="str">
        <f t="shared" si="42"/>
        <v>4a3</v>
      </c>
      <c r="D255" s="10">
        <v>8</v>
      </c>
      <c r="E255">
        <f t="shared" si="38"/>
        <v>248</v>
      </c>
      <c r="F255">
        <f t="shared" si="37"/>
        <v>5</v>
      </c>
      <c r="G255" s="1" t="str">
        <f t="shared" si="39"/>
        <v>4.1</v>
      </c>
      <c r="H255" s="1">
        <f t="shared" si="45"/>
        <v>3</v>
      </c>
      <c r="I255" t="str">
        <f t="shared" si="47"/>
        <v>4.1.3</v>
      </c>
      <c r="J255" t="s">
        <v>60</v>
      </c>
      <c r="L255" s="1">
        <f t="shared" si="46"/>
        <v>6</v>
      </c>
      <c r="M255" s="1" t="str">
        <f t="shared" si="40"/>
        <v>4.1</v>
      </c>
      <c r="N255">
        <f t="shared" si="43"/>
        <v>0</v>
      </c>
      <c r="P255" s="13">
        <f t="shared" si="41"/>
        <v>7.5454545454545459</v>
      </c>
      <c r="R255">
        <v>9</v>
      </c>
      <c r="S255">
        <v>9</v>
      </c>
      <c r="T255">
        <v>7</v>
      </c>
      <c r="U255">
        <v>9</v>
      </c>
      <c r="V255">
        <v>4</v>
      </c>
      <c r="W255">
        <v>8</v>
      </c>
      <c r="X255">
        <v>6</v>
      </c>
      <c r="Y255">
        <v>8</v>
      </c>
      <c r="Z255">
        <v>7</v>
      </c>
      <c r="AA255">
        <v>8</v>
      </c>
    </row>
    <row r="256" spans="1:27" x14ac:dyDescent="0.25">
      <c r="A256">
        <f t="shared" si="44"/>
        <v>254</v>
      </c>
      <c r="B256" t="str">
        <f t="shared" si="42"/>
        <v>4a4</v>
      </c>
      <c r="D256" s="10">
        <v>8</v>
      </c>
      <c r="E256">
        <f t="shared" si="38"/>
        <v>248</v>
      </c>
      <c r="F256">
        <f t="shared" si="37"/>
        <v>5</v>
      </c>
      <c r="G256" s="1" t="str">
        <f t="shared" si="39"/>
        <v>4.1</v>
      </c>
      <c r="H256" s="1">
        <f t="shared" si="45"/>
        <v>3</v>
      </c>
      <c r="I256" t="str">
        <f t="shared" si="47"/>
        <v>4.1.4</v>
      </c>
      <c r="J256" t="s">
        <v>61</v>
      </c>
      <c r="L256" s="1">
        <f t="shared" si="46"/>
        <v>6</v>
      </c>
      <c r="M256" s="1" t="str">
        <f t="shared" si="40"/>
        <v>4.1</v>
      </c>
      <c r="N256">
        <f t="shared" si="43"/>
        <v>0</v>
      </c>
      <c r="P256" s="13">
        <f t="shared" si="41"/>
        <v>7.8181818181818183</v>
      </c>
      <c r="R256">
        <v>9</v>
      </c>
      <c r="S256">
        <v>7</v>
      </c>
      <c r="T256">
        <v>8</v>
      </c>
      <c r="U256">
        <v>7</v>
      </c>
      <c r="V256">
        <v>10</v>
      </c>
      <c r="W256">
        <v>6</v>
      </c>
      <c r="X256">
        <v>9</v>
      </c>
      <c r="Y256">
        <v>7</v>
      </c>
      <c r="Z256">
        <v>6</v>
      </c>
      <c r="AA256">
        <v>9</v>
      </c>
    </row>
    <row r="257" spans="1:27" x14ac:dyDescent="0.25">
      <c r="A257">
        <f t="shared" si="44"/>
        <v>255</v>
      </c>
      <c r="B257" t="str">
        <f t="shared" si="42"/>
        <v>4a5</v>
      </c>
      <c r="D257" s="10">
        <v>9</v>
      </c>
      <c r="E257">
        <f t="shared" si="38"/>
        <v>248</v>
      </c>
      <c r="F257">
        <f t="shared" si="37"/>
        <v>5</v>
      </c>
      <c r="G257" s="1" t="str">
        <f t="shared" si="39"/>
        <v>4.1</v>
      </c>
      <c r="H257" s="1">
        <f t="shared" si="45"/>
        <v>3</v>
      </c>
      <c r="I257" t="str">
        <f t="shared" si="47"/>
        <v>4.1.5</v>
      </c>
      <c r="J257" t="s">
        <v>62</v>
      </c>
      <c r="L257" s="1">
        <f t="shared" si="46"/>
        <v>6</v>
      </c>
      <c r="M257" s="1" t="str">
        <f t="shared" si="40"/>
        <v>4.1</v>
      </c>
      <c r="N257">
        <f t="shared" si="43"/>
        <v>0</v>
      </c>
      <c r="P257" s="13">
        <f t="shared" si="41"/>
        <v>8.6363636363636367</v>
      </c>
      <c r="R257">
        <v>9</v>
      </c>
      <c r="S257">
        <v>7</v>
      </c>
      <c r="T257">
        <v>9</v>
      </c>
      <c r="U257">
        <v>10</v>
      </c>
      <c r="V257">
        <v>6</v>
      </c>
      <c r="W257">
        <v>9</v>
      </c>
      <c r="X257">
        <v>9</v>
      </c>
      <c r="Y257">
        <v>8</v>
      </c>
      <c r="Z257">
        <v>10</v>
      </c>
      <c r="AA257">
        <v>9</v>
      </c>
    </row>
    <row r="258" spans="1:27" x14ac:dyDescent="0.25">
      <c r="A258">
        <f t="shared" si="44"/>
        <v>256</v>
      </c>
      <c r="B258" t="str">
        <f t="shared" si="42"/>
        <v>4b</v>
      </c>
      <c r="D258" s="9">
        <v>6</v>
      </c>
      <c r="E258">
        <f t="shared" si="38"/>
        <v>247</v>
      </c>
      <c r="F258">
        <f t="shared" ref="F258:F306" si="48">LEN(I258)</f>
        <v>3</v>
      </c>
      <c r="G258" s="1" t="str">
        <f t="shared" si="39"/>
        <v>4</v>
      </c>
      <c r="H258" s="1">
        <f t="shared" si="45"/>
        <v>2</v>
      </c>
      <c r="I258" t="str">
        <f t="shared" si="47"/>
        <v>4.2</v>
      </c>
      <c r="J258" t="s">
        <v>63</v>
      </c>
      <c r="L258" s="1">
        <f t="shared" si="46"/>
        <v>4</v>
      </c>
      <c r="M258" s="1" t="str">
        <f t="shared" si="40"/>
        <v>4</v>
      </c>
      <c r="N258">
        <f t="shared" si="43"/>
        <v>0</v>
      </c>
      <c r="P258" s="13">
        <f t="shared" si="41"/>
        <v>5.6363636363636367</v>
      </c>
      <c r="R258">
        <v>4</v>
      </c>
      <c r="S258">
        <v>5</v>
      </c>
      <c r="T258">
        <v>4</v>
      </c>
      <c r="U258">
        <v>8</v>
      </c>
      <c r="V258">
        <v>6</v>
      </c>
      <c r="W258">
        <v>6</v>
      </c>
      <c r="X258">
        <v>6</v>
      </c>
      <c r="Y258">
        <v>6</v>
      </c>
      <c r="Z258">
        <v>5</v>
      </c>
      <c r="AA258">
        <v>6</v>
      </c>
    </row>
    <row r="259" spans="1:27" x14ac:dyDescent="0.25">
      <c r="A259">
        <f t="shared" si="44"/>
        <v>257</v>
      </c>
      <c r="B259" t="str">
        <f t="shared" si="42"/>
        <v>4b1</v>
      </c>
      <c r="D259" s="10">
        <v>8</v>
      </c>
      <c r="E259">
        <f t="shared" ref="E259:E306" si="49">MATCH(G259,I$2:I$306,0)-1</f>
        <v>256</v>
      </c>
      <c r="F259">
        <f t="shared" si="48"/>
        <v>5</v>
      </c>
      <c r="G259" s="1" t="str">
        <f t="shared" ref="G259:G306" si="50">IFERROR(LEFT(I259,LEN(I259)-2-N259),0)</f>
        <v>4.2</v>
      </c>
      <c r="H259" s="1">
        <f t="shared" si="45"/>
        <v>3</v>
      </c>
      <c r="I259" t="str">
        <f t="shared" si="47"/>
        <v>4.2.1</v>
      </c>
      <c r="J259" t="s">
        <v>64</v>
      </c>
      <c r="L259" s="1">
        <f t="shared" si="46"/>
        <v>6</v>
      </c>
      <c r="M259" s="1" t="str">
        <f t="shared" ref="M259:M306" si="51">IFERROR(LEFT(I259,LEN(I259)-2),0)</f>
        <v>4.2</v>
      </c>
      <c r="N259">
        <f t="shared" si="43"/>
        <v>0</v>
      </c>
      <c r="P259" s="13">
        <f t="shared" si="41"/>
        <v>7.4545454545454541</v>
      </c>
      <c r="R259">
        <v>8</v>
      </c>
      <c r="S259">
        <v>7</v>
      </c>
      <c r="T259">
        <v>10</v>
      </c>
      <c r="U259">
        <v>8</v>
      </c>
      <c r="V259">
        <v>3</v>
      </c>
      <c r="W259">
        <v>8</v>
      </c>
      <c r="X259">
        <v>7</v>
      </c>
      <c r="Y259">
        <v>7</v>
      </c>
      <c r="Z259">
        <v>7</v>
      </c>
      <c r="AA259">
        <v>9</v>
      </c>
    </row>
    <row r="260" spans="1:27" x14ac:dyDescent="0.25">
      <c r="A260">
        <f t="shared" si="44"/>
        <v>258</v>
      </c>
      <c r="B260" t="str">
        <f t="shared" si="42"/>
        <v>4b2</v>
      </c>
      <c r="D260" s="10">
        <v>9</v>
      </c>
      <c r="E260">
        <f t="shared" si="49"/>
        <v>256</v>
      </c>
      <c r="F260">
        <f t="shared" si="48"/>
        <v>5</v>
      </c>
      <c r="G260" s="1" t="str">
        <f t="shared" si="50"/>
        <v>4.2</v>
      </c>
      <c r="H260" s="1">
        <f t="shared" si="45"/>
        <v>3</v>
      </c>
      <c r="I260" t="str">
        <f t="shared" si="47"/>
        <v>4.2.2</v>
      </c>
      <c r="J260" t="s">
        <v>65</v>
      </c>
      <c r="L260" s="1">
        <f t="shared" si="46"/>
        <v>6</v>
      </c>
      <c r="M260" s="1" t="str">
        <f t="shared" si="51"/>
        <v>4.2</v>
      </c>
      <c r="N260">
        <f t="shared" si="43"/>
        <v>0</v>
      </c>
      <c r="P260" s="13">
        <f t="shared" ref="P260:P306" si="52">AVERAGE(D260,R260:AA260)</f>
        <v>8.8181818181818183</v>
      </c>
      <c r="R260">
        <v>8</v>
      </c>
      <c r="S260">
        <v>10</v>
      </c>
      <c r="T260">
        <v>9</v>
      </c>
      <c r="U260">
        <v>9</v>
      </c>
      <c r="V260">
        <v>10</v>
      </c>
      <c r="W260">
        <v>9</v>
      </c>
      <c r="X260">
        <v>7</v>
      </c>
      <c r="Y260">
        <v>8</v>
      </c>
      <c r="Z260">
        <v>8</v>
      </c>
      <c r="AA260">
        <v>10</v>
      </c>
    </row>
    <row r="261" spans="1:27" x14ac:dyDescent="0.25">
      <c r="A261">
        <f t="shared" si="44"/>
        <v>259</v>
      </c>
      <c r="B261" t="str">
        <f t="shared" si="42"/>
        <v>4c</v>
      </c>
      <c r="D261" s="9">
        <v>4</v>
      </c>
      <c r="E261">
        <f t="shared" si="49"/>
        <v>247</v>
      </c>
      <c r="F261">
        <f t="shared" si="48"/>
        <v>3</v>
      </c>
      <c r="G261" s="1" t="str">
        <f t="shared" si="50"/>
        <v>4</v>
      </c>
      <c r="H261" s="1">
        <f t="shared" si="45"/>
        <v>2</v>
      </c>
      <c r="I261" t="str">
        <f t="shared" si="47"/>
        <v>4.3</v>
      </c>
      <c r="J261" t="s">
        <v>66</v>
      </c>
      <c r="L261" s="1">
        <f t="shared" si="46"/>
        <v>4</v>
      </c>
      <c r="M261" s="1" t="str">
        <f t="shared" si="51"/>
        <v>4</v>
      </c>
      <c r="N261">
        <f t="shared" si="43"/>
        <v>0</v>
      </c>
      <c r="P261" s="13">
        <f t="shared" si="52"/>
        <v>4.1818181818181817</v>
      </c>
      <c r="R261">
        <v>5</v>
      </c>
      <c r="S261">
        <v>4</v>
      </c>
      <c r="T261">
        <v>2</v>
      </c>
      <c r="U261">
        <v>4</v>
      </c>
      <c r="V261">
        <v>7</v>
      </c>
      <c r="W261">
        <v>4</v>
      </c>
      <c r="X261">
        <v>4</v>
      </c>
      <c r="Y261">
        <v>4</v>
      </c>
      <c r="Z261">
        <v>4</v>
      </c>
      <c r="AA261">
        <v>4</v>
      </c>
    </row>
    <row r="262" spans="1:27" x14ac:dyDescent="0.25">
      <c r="A262">
        <f t="shared" si="44"/>
        <v>260</v>
      </c>
      <c r="B262" t="str">
        <f t="shared" ref="B262:B306" si="53">Метка(I262)</f>
        <v>4c1</v>
      </c>
      <c r="D262" s="10">
        <v>9</v>
      </c>
      <c r="E262">
        <f t="shared" si="49"/>
        <v>259</v>
      </c>
      <c r="F262">
        <f t="shared" si="48"/>
        <v>5</v>
      </c>
      <c r="G262" s="1" t="str">
        <f t="shared" si="50"/>
        <v>4.3</v>
      </c>
      <c r="H262" s="1">
        <f t="shared" si="45"/>
        <v>3</v>
      </c>
      <c r="I262" t="str">
        <f t="shared" si="47"/>
        <v>4.3.1</v>
      </c>
      <c r="J262" t="s">
        <v>284</v>
      </c>
      <c r="L262" s="1">
        <f t="shared" si="46"/>
        <v>6</v>
      </c>
      <c r="M262" s="1" t="str">
        <f t="shared" si="51"/>
        <v>4.3</v>
      </c>
      <c r="N262">
        <f t="shared" si="43"/>
        <v>0</v>
      </c>
      <c r="P262" s="13">
        <f t="shared" si="52"/>
        <v>8.6363636363636367</v>
      </c>
      <c r="R262">
        <v>7</v>
      </c>
      <c r="S262">
        <v>7</v>
      </c>
      <c r="T262">
        <v>7</v>
      </c>
      <c r="U262">
        <v>9</v>
      </c>
      <c r="V262">
        <v>8</v>
      </c>
      <c r="W262">
        <v>10</v>
      </c>
      <c r="X262">
        <v>9</v>
      </c>
      <c r="Y262">
        <v>10</v>
      </c>
      <c r="Z262">
        <v>10</v>
      </c>
      <c r="AA262">
        <v>9</v>
      </c>
    </row>
    <row r="263" spans="1:27" x14ac:dyDescent="0.25">
      <c r="A263">
        <f t="shared" si="44"/>
        <v>261</v>
      </c>
      <c r="B263" t="str">
        <f t="shared" si="53"/>
        <v>4c2</v>
      </c>
      <c r="D263" s="10">
        <v>7</v>
      </c>
      <c r="E263">
        <f t="shared" si="49"/>
        <v>259</v>
      </c>
      <c r="F263">
        <f t="shared" si="48"/>
        <v>5</v>
      </c>
      <c r="G263" s="1" t="str">
        <f t="shared" si="50"/>
        <v>4.3</v>
      </c>
      <c r="H263" s="1">
        <f t="shared" si="45"/>
        <v>3</v>
      </c>
      <c r="I263" t="str">
        <f t="shared" si="47"/>
        <v>4.3.2</v>
      </c>
      <c r="J263" t="s">
        <v>285</v>
      </c>
      <c r="L263" s="1">
        <f t="shared" si="46"/>
        <v>6</v>
      </c>
      <c r="M263" s="1" t="str">
        <f t="shared" si="51"/>
        <v>4.3</v>
      </c>
      <c r="N263">
        <f t="shared" si="43"/>
        <v>0</v>
      </c>
      <c r="P263" s="13">
        <f t="shared" si="52"/>
        <v>7</v>
      </c>
      <c r="R263">
        <v>7</v>
      </c>
      <c r="S263">
        <v>5</v>
      </c>
      <c r="T263">
        <v>7</v>
      </c>
      <c r="U263">
        <v>8</v>
      </c>
      <c r="V263">
        <v>10</v>
      </c>
      <c r="W263">
        <v>8</v>
      </c>
      <c r="X263">
        <v>6</v>
      </c>
      <c r="Y263">
        <v>6</v>
      </c>
      <c r="Z263">
        <v>6</v>
      </c>
      <c r="AA263">
        <v>7</v>
      </c>
    </row>
    <row r="264" spans="1:27" x14ac:dyDescent="0.25">
      <c r="A264">
        <f t="shared" si="44"/>
        <v>262</v>
      </c>
      <c r="B264" t="str">
        <f t="shared" si="53"/>
        <v>4c3</v>
      </c>
      <c r="D264" s="10">
        <v>8</v>
      </c>
      <c r="E264">
        <f t="shared" si="49"/>
        <v>259</v>
      </c>
      <c r="F264">
        <f t="shared" si="48"/>
        <v>5</v>
      </c>
      <c r="G264" s="1" t="str">
        <f t="shared" si="50"/>
        <v>4.3</v>
      </c>
      <c r="H264" s="1">
        <f t="shared" si="45"/>
        <v>3</v>
      </c>
      <c r="I264" t="str">
        <f t="shared" si="47"/>
        <v>4.3.3</v>
      </c>
      <c r="J264" t="s">
        <v>286</v>
      </c>
      <c r="L264" s="1">
        <f t="shared" si="46"/>
        <v>6</v>
      </c>
      <c r="M264" s="1" t="str">
        <f t="shared" si="51"/>
        <v>4.3</v>
      </c>
      <c r="N264">
        <f t="shared" ref="N264:N306" si="54">IF(RIGHT(M264)=".",1,0)</f>
        <v>0</v>
      </c>
      <c r="P264" s="13">
        <f t="shared" si="52"/>
        <v>8.454545454545455</v>
      </c>
      <c r="R264">
        <v>8</v>
      </c>
      <c r="S264">
        <v>8</v>
      </c>
      <c r="T264">
        <v>8</v>
      </c>
      <c r="U264">
        <v>10</v>
      </c>
      <c r="V264">
        <v>10</v>
      </c>
      <c r="W264">
        <v>8</v>
      </c>
      <c r="X264">
        <v>9</v>
      </c>
      <c r="Y264">
        <v>9</v>
      </c>
      <c r="Z264">
        <v>8</v>
      </c>
      <c r="AA264">
        <v>7</v>
      </c>
    </row>
    <row r="265" spans="1:27" x14ac:dyDescent="0.25">
      <c r="A265">
        <f t="shared" si="44"/>
        <v>263</v>
      </c>
      <c r="B265" t="str">
        <f t="shared" si="53"/>
        <v>4c4</v>
      </c>
      <c r="D265" s="10">
        <v>8</v>
      </c>
      <c r="E265">
        <f t="shared" si="49"/>
        <v>259</v>
      </c>
      <c r="F265">
        <f t="shared" si="48"/>
        <v>5</v>
      </c>
      <c r="G265" s="1" t="str">
        <f t="shared" si="50"/>
        <v>4.3</v>
      </c>
      <c r="H265" s="1">
        <f t="shared" si="45"/>
        <v>3</v>
      </c>
      <c r="I265" t="str">
        <f t="shared" si="47"/>
        <v>4.3.4</v>
      </c>
      <c r="J265" t="s">
        <v>287</v>
      </c>
      <c r="L265" s="1">
        <f t="shared" si="46"/>
        <v>6</v>
      </c>
      <c r="M265" s="1" t="str">
        <f t="shared" si="51"/>
        <v>4.3</v>
      </c>
      <c r="N265">
        <f t="shared" si="54"/>
        <v>0</v>
      </c>
      <c r="P265" s="13">
        <f t="shared" si="52"/>
        <v>7.4545454545454541</v>
      </c>
      <c r="R265">
        <v>8</v>
      </c>
      <c r="S265">
        <v>7</v>
      </c>
      <c r="T265">
        <v>6</v>
      </c>
      <c r="U265">
        <v>8</v>
      </c>
      <c r="V265">
        <v>5</v>
      </c>
      <c r="W265">
        <v>9</v>
      </c>
      <c r="X265">
        <v>9</v>
      </c>
      <c r="Y265">
        <v>7</v>
      </c>
      <c r="Z265">
        <v>6</v>
      </c>
      <c r="AA265">
        <v>9</v>
      </c>
    </row>
    <row r="266" spans="1:27" x14ac:dyDescent="0.25">
      <c r="A266">
        <f t="shared" si="44"/>
        <v>264</v>
      </c>
      <c r="B266" t="str">
        <f t="shared" si="53"/>
        <v>4c5</v>
      </c>
      <c r="D266" s="10">
        <v>3</v>
      </c>
      <c r="E266">
        <f t="shared" si="49"/>
        <v>259</v>
      </c>
      <c r="F266">
        <f t="shared" si="48"/>
        <v>5</v>
      </c>
      <c r="G266" s="1" t="str">
        <f t="shared" si="50"/>
        <v>4.3</v>
      </c>
      <c r="H266" s="1">
        <f t="shared" si="45"/>
        <v>3</v>
      </c>
      <c r="I266" t="str">
        <f t="shared" si="47"/>
        <v>4.3.5</v>
      </c>
      <c r="J266" t="s">
        <v>288</v>
      </c>
      <c r="L266" s="1">
        <f t="shared" si="46"/>
        <v>6</v>
      </c>
      <c r="M266" s="1" t="str">
        <f t="shared" si="51"/>
        <v>4.3</v>
      </c>
      <c r="N266">
        <f t="shared" si="54"/>
        <v>0</v>
      </c>
      <c r="P266" s="13">
        <f t="shared" si="52"/>
        <v>4.0909090909090908</v>
      </c>
      <c r="R266">
        <v>1</v>
      </c>
      <c r="S266">
        <v>5</v>
      </c>
      <c r="T266">
        <v>4</v>
      </c>
      <c r="U266">
        <v>4</v>
      </c>
      <c r="V266">
        <v>8</v>
      </c>
      <c r="W266">
        <v>4</v>
      </c>
      <c r="X266">
        <v>4</v>
      </c>
      <c r="Y266">
        <v>3</v>
      </c>
      <c r="Z266">
        <v>5</v>
      </c>
      <c r="AA266">
        <v>4</v>
      </c>
    </row>
    <row r="267" spans="1:27" x14ac:dyDescent="0.25">
      <c r="A267">
        <f t="shared" si="44"/>
        <v>265</v>
      </c>
      <c r="B267" t="str">
        <f t="shared" si="53"/>
        <v>4d</v>
      </c>
      <c r="D267" s="9">
        <v>7</v>
      </c>
      <c r="E267">
        <f t="shared" si="49"/>
        <v>247</v>
      </c>
      <c r="F267">
        <f t="shared" si="48"/>
        <v>3</v>
      </c>
      <c r="G267" s="1" t="str">
        <f t="shared" si="50"/>
        <v>4</v>
      </c>
      <c r="H267" s="1">
        <f t="shared" si="45"/>
        <v>2</v>
      </c>
      <c r="I267" t="str">
        <f t="shared" si="47"/>
        <v>4.4</v>
      </c>
      <c r="J267" t="s">
        <v>67</v>
      </c>
      <c r="L267" s="1">
        <f t="shared" si="46"/>
        <v>4</v>
      </c>
      <c r="M267" s="1" t="str">
        <f t="shared" si="51"/>
        <v>4</v>
      </c>
      <c r="N267">
        <f t="shared" si="54"/>
        <v>0</v>
      </c>
      <c r="P267" s="13">
        <f t="shared" si="52"/>
        <v>7.2727272727272725</v>
      </c>
      <c r="R267">
        <v>6</v>
      </c>
      <c r="S267">
        <v>8</v>
      </c>
      <c r="T267">
        <v>9</v>
      </c>
      <c r="U267">
        <v>5</v>
      </c>
      <c r="V267">
        <v>9</v>
      </c>
      <c r="W267">
        <v>8</v>
      </c>
      <c r="X267">
        <v>7</v>
      </c>
      <c r="Y267">
        <v>7</v>
      </c>
      <c r="Z267">
        <v>8</v>
      </c>
      <c r="AA267">
        <v>6</v>
      </c>
    </row>
    <row r="268" spans="1:27" x14ac:dyDescent="0.25">
      <c r="A268">
        <f t="shared" si="44"/>
        <v>266</v>
      </c>
      <c r="B268" t="str">
        <f t="shared" si="53"/>
        <v>5</v>
      </c>
      <c r="D268" s="8">
        <v>8</v>
      </c>
      <c r="E268">
        <f t="shared" si="49"/>
        <v>0</v>
      </c>
      <c r="F268">
        <f t="shared" si="48"/>
        <v>1</v>
      </c>
      <c r="G268" s="1">
        <f t="shared" si="50"/>
        <v>0</v>
      </c>
      <c r="H268" s="1">
        <f t="shared" si="45"/>
        <v>1</v>
      </c>
      <c r="I268" t="str">
        <f t="shared" si="47"/>
        <v>5</v>
      </c>
      <c r="J268" t="s">
        <v>289</v>
      </c>
      <c r="L268" s="1">
        <f t="shared" si="46"/>
        <v>2</v>
      </c>
      <c r="M268" s="1">
        <f t="shared" si="51"/>
        <v>0</v>
      </c>
      <c r="N268">
        <f t="shared" si="54"/>
        <v>0</v>
      </c>
      <c r="P268" s="13">
        <f t="shared" si="52"/>
        <v>8.7272727272727266</v>
      </c>
      <c r="R268">
        <v>9</v>
      </c>
      <c r="S268">
        <v>8</v>
      </c>
      <c r="T268">
        <v>8</v>
      </c>
      <c r="U268">
        <v>8</v>
      </c>
      <c r="V268">
        <v>10</v>
      </c>
      <c r="W268">
        <v>10</v>
      </c>
      <c r="X268">
        <v>10</v>
      </c>
      <c r="Y268">
        <v>10</v>
      </c>
      <c r="Z268">
        <v>8</v>
      </c>
      <c r="AA268">
        <v>7</v>
      </c>
    </row>
    <row r="269" spans="1:27" x14ac:dyDescent="0.25">
      <c r="A269">
        <f t="shared" si="44"/>
        <v>267</v>
      </c>
      <c r="B269" t="str">
        <f t="shared" si="53"/>
        <v>5a</v>
      </c>
      <c r="D269" s="9">
        <v>8</v>
      </c>
      <c r="E269">
        <f t="shared" si="49"/>
        <v>266</v>
      </c>
      <c r="F269">
        <f t="shared" si="48"/>
        <v>3</v>
      </c>
      <c r="G269" s="1" t="str">
        <f t="shared" si="50"/>
        <v>5</v>
      </c>
      <c r="H269" s="1">
        <f t="shared" si="45"/>
        <v>2</v>
      </c>
      <c r="I269" t="str">
        <f t="shared" si="47"/>
        <v>5.1</v>
      </c>
      <c r="J269" t="s">
        <v>68</v>
      </c>
      <c r="L269" s="1">
        <f t="shared" si="46"/>
        <v>4</v>
      </c>
      <c r="M269" s="1" t="str">
        <f t="shared" si="51"/>
        <v>5</v>
      </c>
      <c r="N269">
        <f t="shared" si="54"/>
        <v>0</v>
      </c>
      <c r="P269" s="13">
        <f t="shared" si="52"/>
        <v>8.2727272727272734</v>
      </c>
      <c r="R269">
        <v>9</v>
      </c>
      <c r="S269">
        <v>10</v>
      </c>
      <c r="T269">
        <v>4</v>
      </c>
      <c r="U269">
        <v>10</v>
      </c>
      <c r="V269">
        <v>9</v>
      </c>
      <c r="W269">
        <v>8</v>
      </c>
      <c r="X269">
        <v>10</v>
      </c>
      <c r="Y269">
        <v>9</v>
      </c>
      <c r="Z269">
        <v>5</v>
      </c>
      <c r="AA269">
        <v>9</v>
      </c>
    </row>
    <row r="270" spans="1:27" x14ac:dyDescent="0.25">
      <c r="A270">
        <f t="shared" si="44"/>
        <v>268</v>
      </c>
      <c r="B270" t="str">
        <f t="shared" si="53"/>
        <v>5a1</v>
      </c>
      <c r="D270" s="10">
        <v>9</v>
      </c>
      <c r="E270">
        <f t="shared" si="49"/>
        <v>267</v>
      </c>
      <c r="F270">
        <f t="shared" si="48"/>
        <v>5</v>
      </c>
      <c r="G270" s="1" t="str">
        <f t="shared" si="50"/>
        <v>5.1</v>
      </c>
      <c r="H270" s="1">
        <f t="shared" si="45"/>
        <v>3</v>
      </c>
      <c r="I270" t="str">
        <f t="shared" si="47"/>
        <v>5.1.1</v>
      </c>
      <c r="J270" t="s">
        <v>69</v>
      </c>
      <c r="L270" s="1">
        <f t="shared" si="46"/>
        <v>6</v>
      </c>
      <c r="M270" s="1" t="str">
        <f t="shared" si="51"/>
        <v>5.1</v>
      </c>
      <c r="N270">
        <f t="shared" si="54"/>
        <v>0</v>
      </c>
      <c r="P270" s="13">
        <f t="shared" si="52"/>
        <v>8.8181818181818183</v>
      </c>
      <c r="R270">
        <v>9</v>
      </c>
      <c r="S270">
        <v>10</v>
      </c>
      <c r="T270">
        <v>8</v>
      </c>
      <c r="U270">
        <v>8</v>
      </c>
      <c r="V270">
        <v>9</v>
      </c>
      <c r="W270">
        <v>9</v>
      </c>
      <c r="X270">
        <v>10</v>
      </c>
      <c r="Y270">
        <v>10</v>
      </c>
      <c r="Z270">
        <v>6</v>
      </c>
      <c r="AA270">
        <v>9</v>
      </c>
    </row>
    <row r="271" spans="1:27" x14ac:dyDescent="0.25">
      <c r="A271">
        <f t="shared" si="44"/>
        <v>269</v>
      </c>
      <c r="B271" t="str">
        <f t="shared" si="53"/>
        <v>5a2</v>
      </c>
      <c r="D271" s="10">
        <v>7</v>
      </c>
      <c r="E271">
        <f t="shared" si="49"/>
        <v>267</v>
      </c>
      <c r="F271">
        <f t="shared" si="48"/>
        <v>5</v>
      </c>
      <c r="G271" s="1" t="str">
        <f t="shared" si="50"/>
        <v>5.1</v>
      </c>
      <c r="H271" s="1">
        <f t="shared" si="45"/>
        <v>3</v>
      </c>
      <c r="I271" t="str">
        <f t="shared" si="47"/>
        <v>5.1.2</v>
      </c>
      <c r="J271" t="s">
        <v>70</v>
      </c>
      <c r="L271" s="1">
        <f t="shared" si="46"/>
        <v>6</v>
      </c>
      <c r="M271" s="1" t="str">
        <f t="shared" si="51"/>
        <v>5.1</v>
      </c>
      <c r="N271">
        <f t="shared" si="54"/>
        <v>0</v>
      </c>
      <c r="P271" s="13">
        <f t="shared" si="52"/>
        <v>7.4545454545454541</v>
      </c>
      <c r="R271">
        <v>9</v>
      </c>
      <c r="S271">
        <v>7</v>
      </c>
      <c r="T271">
        <v>8</v>
      </c>
      <c r="U271">
        <v>7</v>
      </c>
      <c r="V271">
        <v>9</v>
      </c>
      <c r="W271">
        <v>5</v>
      </c>
      <c r="X271">
        <v>8</v>
      </c>
      <c r="Y271">
        <v>7</v>
      </c>
      <c r="Z271">
        <v>8</v>
      </c>
      <c r="AA271">
        <v>7</v>
      </c>
    </row>
    <row r="272" spans="1:27" x14ac:dyDescent="0.25">
      <c r="A272">
        <f t="shared" si="44"/>
        <v>270</v>
      </c>
      <c r="B272" t="str">
        <f t="shared" si="53"/>
        <v>5b</v>
      </c>
      <c r="D272" s="9">
        <v>9</v>
      </c>
      <c r="E272">
        <f t="shared" si="49"/>
        <v>266</v>
      </c>
      <c r="F272">
        <f t="shared" si="48"/>
        <v>3</v>
      </c>
      <c r="G272" s="1" t="str">
        <f t="shared" si="50"/>
        <v>5</v>
      </c>
      <c r="H272" s="1">
        <f t="shared" si="45"/>
        <v>2</v>
      </c>
      <c r="I272" t="str">
        <f t="shared" si="47"/>
        <v>5.2</v>
      </c>
      <c r="J272" t="s">
        <v>71</v>
      </c>
      <c r="L272" s="1">
        <f t="shared" si="46"/>
        <v>4</v>
      </c>
      <c r="M272" s="1" t="str">
        <f t="shared" si="51"/>
        <v>5</v>
      </c>
      <c r="N272">
        <f t="shared" si="54"/>
        <v>0</v>
      </c>
      <c r="P272" s="13">
        <f t="shared" si="52"/>
        <v>8.7272727272727266</v>
      </c>
      <c r="R272">
        <v>9</v>
      </c>
      <c r="S272">
        <v>9</v>
      </c>
      <c r="T272">
        <v>10</v>
      </c>
      <c r="U272">
        <v>8</v>
      </c>
      <c r="V272">
        <v>8</v>
      </c>
      <c r="W272">
        <v>9</v>
      </c>
      <c r="X272">
        <v>10</v>
      </c>
      <c r="Y272">
        <v>7</v>
      </c>
      <c r="Z272">
        <v>10</v>
      </c>
      <c r="AA272">
        <v>7</v>
      </c>
    </row>
    <row r="273" spans="1:27" x14ac:dyDescent="0.25">
      <c r="A273">
        <f t="shared" si="44"/>
        <v>271</v>
      </c>
      <c r="B273" t="str">
        <f t="shared" si="53"/>
        <v>5b1</v>
      </c>
      <c r="D273" s="10">
        <v>9</v>
      </c>
      <c r="E273">
        <f t="shared" si="49"/>
        <v>270</v>
      </c>
      <c r="F273">
        <f t="shared" si="48"/>
        <v>5</v>
      </c>
      <c r="G273" s="1" t="str">
        <f t="shared" si="50"/>
        <v>5.2</v>
      </c>
      <c r="H273" s="1">
        <f t="shared" si="45"/>
        <v>3</v>
      </c>
      <c r="I273" t="str">
        <f t="shared" si="47"/>
        <v>5.2.1</v>
      </c>
      <c r="J273" t="s">
        <v>72</v>
      </c>
      <c r="L273" s="1">
        <f t="shared" si="46"/>
        <v>6</v>
      </c>
      <c r="M273" s="1" t="str">
        <f t="shared" si="51"/>
        <v>5.2</v>
      </c>
      <c r="N273">
        <f t="shared" si="54"/>
        <v>0</v>
      </c>
      <c r="P273" s="13">
        <f t="shared" si="52"/>
        <v>7.9090909090909092</v>
      </c>
      <c r="R273">
        <v>8</v>
      </c>
      <c r="S273">
        <v>8</v>
      </c>
      <c r="T273">
        <v>8</v>
      </c>
      <c r="U273">
        <v>8</v>
      </c>
      <c r="V273">
        <v>9</v>
      </c>
      <c r="W273">
        <v>8</v>
      </c>
      <c r="X273">
        <v>9</v>
      </c>
      <c r="Y273">
        <v>8</v>
      </c>
      <c r="Z273">
        <v>3</v>
      </c>
      <c r="AA273">
        <v>9</v>
      </c>
    </row>
    <row r="274" spans="1:27" x14ac:dyDescent="0.25">
      <c r="A274">
        <f t="shared" si="44"/>
        <v>272</v>
      </c>
      <c r="B274" t="str">
        <f t="shared" si="53"/>
        <v>5b2</v>
      </c>
      <c r="D274" s="10">
        <v>7</v>
      </c>
      <c r="E274">
        <f t="shared" si="49"/>
        <v>270</v>
      </c>
      <c r="F274">
        <f t="shared" si="48"/>
        <v>5</v>
      </c>
      <c r="G274" s="1" t="str">
        <f t="shared" si="50"/>
        <v>5.2</v>
      </c>
      <c r="H274" s="1">
        <f t="shared" si="45"/>
        <v>3</v>
      </c>
      <c r="I274" t="str">
        <f t="shared" si="47"/>
        <v>5.2.2</v>
      </c>
      <c r="J274" t="s">
        <v>73</v>
      </c>
      <c r="L274" s="1">
        <f t="shared" si="46"/>
        <v>6</v>
      </c>
      <c r="M274" s="1" t="str">
        <f t="shared" si="51"/>
        <v>5.2</v>
      </c>
      <c r="N274">
        <f t="shared" si="54"/>
        <v>0</v>
      </c>
      <c r="P274" s="13">
        <f t="shared" si="52"/>
        <v>7</v>
      </c>
      <c r="R274">
        <v>7</v>
      </c>
      <c r="S274">
        <v>8</v>
      </c>
      <c r="T274">
        <v>3</v>
      </c>
      <c r="U274">
        <v>5</v>
      </c>
      <c r="V274">
        <v>10</v>
      </c>
      <c r="W274">
        <v>7</v>
      </c>
      <c r="X274">
        <v>9</v>
      </c>
      <c r="Y274">
        <v>8</v>
      </c>
      <c r="Z274">
        <v>5</v>
      </c>
      <c r="AA274">
        <v>8</v>
      </c>
    </row>
    <row r="275" spans="1:27" x14ac:dyDescent="0.25">
      <c r="A275">
        <f t="shared" ref="A275:A306" si="55">A274+1</f>
        <v>273</v>
      </c>
      <c r="B275" t="str">
        <f t="shared" si="53"/>
        <v>5c</v>
      </c>
      <c r="D275" s="9">
        <v>9</v>
      </c>
      <c r="E275">
        <f t="shared" si="49"/>
        <v>266</v>
      </c>
      <c r="F275">
        <f t="shared" si="48"/>
        <v>3</v>
      </c>
      <c r="G275" s="1" t="str">
        <f t="shared" si="50"/>
        <v>5</v>
      </c>
      <c r="H275" s="1">
        <f t="shared" ref="H275:H306" si="56">ROUNDUP(F275/2,0)</f>
        <v>2</v>
      </c>
      <c r="I275" t="str">
        <f t="shared" si="47"/>
        <v>5.3</v>
      </c>
      <c r="J275" t="s">
        <v>74</v>
      </c>
      <c r="L275" s="1">
        <f t="shared" ref="L275:L306" si="57">IFERROR(SEARCH(L$2,J275),SEARCH(". ",J275))</f>
        <v>4</v>
      </c>
      <c r="M275" s="1" t="str">
        <f t="shared" si="51"/>
        <v>5</v>
      </c>
      <c r="N275">
        <f t="shared" si="54"/>
        <v>0</v>
      </c>
      <c r="P275" s="13">
        <f t="shared" si="52"/>
        <v>8.8181818181818183</v>
      </c>
      <c r="R275">
        <v>8</v>
      </c>
      <c r="S275">
        <v>10</v>
      </c>
      <c r="T275">
        <v>7</v>
      </c>
      <c r="U275">
        <v>10</v>
      </c>
      <c r="V275">
        <v>7</v>
      </c>
      <c r="W275">
        <v>8</v>
      </c>
      <c r="X275">
        <v>9</v>
      </c>
      <c r="Y275">
        <v>9</v>
      </c>
      <c r="Z275">
        <v>10</v>
      </c>
      <c r="AA275">
        <v>10</v>
      </c>
    </row>
    <row r="276" spans="1:27" x14ac:dyDescent="0.25">
      <c r="A276">
        <f t="shared" si="55"/>
        <v>274</v>
      </c>
      <c r="B276" t="str">
        <f t="shared" si="53"/>
        <v>5c1</v>
      </c>
      <c r="D276" s="10">
        <v>9</v>
      </c>
      <c r="E276">
        <f t="shared" si="49"/>
        <v>273</v>
      </c>
      <c r="F276">
        <f t="shared" si="48"/>
        <v>5</v>
      </c>
      <c r="G276" s="1" t="str">
        <f t="shared" si="50"/>
        <v>5.3</v>
      </c>
      <c r="H276" s="1">
        <f t="shared" si="56"/>
        <v>3</v>
      </c>
      <c r="I276" t="str">
        <f t="shared" ref="I276:I306" si="58">LEFT(J276,L276-1)</f>
        <v>5.3.1</v>
      </c>
      <c r="J276" t="s">
        <v>75</v>
      </c>
      <c r="L276" s="1">
        <f t="shared" si="57"/>
        <v>6</v>
      </c>
      <c r="M276" s="1" t="str">
        <f t="shared" si="51"/>
        <v>5.3</v>
      </c>
      <c r="N276">
        <f t="shared" si="54"/>
        <v>0</v>
      </c>
      <c r="P276" s="13">
        <f t="shared" si="52"/>
        <v>8.6363636363636367</v>
      </c>
      <c r="R276">
        <v>9</v>
      </c>
      <c r="S276">
        <v>9</v>
      </c>
      <c r="T276">
        <v>9</v>
      </c>
      <c r="U276">
        <v>8</v>
      </c>
      <c r="V276">
        <v>8</v>
      </c>
      <c r="W276">
        <v>8</v>
      </c>
      <c r="X276">
        <v>9</v>
      </c>
      <c r="Y276">
        <v>10</v>
      </c>
      <c r="Z276">
        <v>6</v>
      </c>
      <c r="AA276">
        <v>10</v>
      </c>
    </row>
    <row r="277" spans="1:27" x14ac:dyDescent="0.25">
      <c r="A277">
        <f t="shared" si="55"/>
        <v>275</v>
      </c>
      <c r="B277" t="str">
        <f t="shared" si="53"/>
        <v>5c2</v>
      </c>
      <c r="D277" s="10">
        <v>7</v>
      </c>
      <c r="E277">
        <f t="shared" si="49"/>
        <v>273</v>
      </c>
      <c r="F277">
        <f t="shared" si="48"/>
        <v>5</v>
      </c>
      <c r="G277" s="1" t="str">
        <f t="shared" si="50"/>
        <v>5.3</v>
      </c>
      <c r="H277" s="1">
        <f t="shared" si="56"/>
        <v>3</v>
      </c>
      <c r="I277" t="str">
        <f t="shared" si="58"/>
        <v>5.3.2</v>
      </c>
      <c r="J277" t="s">
        <v>76</v>
      </c>
      <c r="L277" s="1">
        <f t="shared" si="57"/>
        <v>6</v>
      </c>
      <c r="M277" s="1" t="str">
        <f t="shared" si="51"/>
        <v>5.3</v>
      </c>
      <c r="N277">
        <f t="shared" si="54"/>
        <v>0</v>
      </c>
      <c r="P277" s="13">
        <f t="shared" si="52"/>
        <v>7.1818181818181817</v>
      </c>
      <c r="R277">
        <v>8</v>
      </c>
      <c r="S277">
        <v>5</v>
      </c>
      <c r="T277">
        <v>10</v>
      </c>
      <c r="U277">
        <v>7</v>
      </c>
      <c r="V277">
        <v>5</v>
      </c>
      <c r="W277">
        <v>5</v>
      </c>
      <c r="X277">
        <v>5</v>
      </c>
      <c r="Y277">
        <v>10</v>
      </c>
      <c r="Z277">
        <v>10</v>
      </c>
      <c r="AA277">
        <v>7</v>
      </c>
    </row>
    <row r="278" spans="1:27" x14ac:dyDescent="0.25">
      <c r="A278">
        <f t="shared" si="55"/>
        <v>276</v>
      </c>
      <c r="B278" t="str">
        <f t="shared" si="53"/>
        <v>5d</v>
      </c>
      <c r="D278" s="9">
        <v>7</v>
      </c>
      <c r="E278">
        <f t="shared" si="49"/>
        <v>266</v>
      </c>
      <c r="F278">
        <f t="shared" si="48"/>
        <v>3</v>
      </c>
      <c r="G278" s="1" t="str">
        <f t="shared" si="50"/>
        <v>5</v>
      </c>
      <c r="H278" s="1">
        <f t="shared" si="56"/>
        <v>2</v>
      </c>
      <c r="I278" t="str">
        <f t="shared" si="58"/>
        <v>5.4</v>
      </c>
      <c r="J278" t="s">
        <v>77</v>
      </c>
      <c r="L278" s="1">
        <f t="shared" si="57"/>
        <v>4</v>
      </c>
      <c r="M278" s="1" t="str">
        <f t="shared" si="51"/>
        <v>5</v>
      </c>
      <c r="N278">
        <f t="shared" si="54"/>
        <v>0</v>
      </c>
      <c r="P278" s="13">
        <f t="shared" si="52"/>
        <v>7.5454545454545459</v>
      </c>
      <c r="R278">
        <v>7</v>
      </c>
      <c r="S278">
        <v>8</v>
      </c>
      <c r="T278">
        <v>8</v>
      </c>
      <c r="U278">
        <v>8</v>
      </c>
      <c r="V278">
        <v>10</v>
      </c>
      <c r="W278">
        <v>6</v>
      </c>
      <c r="X278">
        <v>8</v>
      </c>
      <c r="Y278">
        <v>8</v>
      </c>
      <c r="Z278">
        <v>6</v>
      </c>
      <c r="AA278">
        <v>7</v>
      </c>
    </row>
    <row r="279" spans="1:27" x14ac:dyDescent="0.25">
      <c r="A279">
        <f t="shared" si="55"/>
        <v>277</v>
      </c>
      <c r="B279" t="str">
        <f t="shared" si="53"/>
        <v>6</v>
      </c>
      <c r="D279" s="8">
        <v>6</v>
      </c>
      <c r="E279">
        <f t="shared" si="49"/>
        <v>0</v>
      </c>
      <c r="F279">
        <f t="shared" si="48"/>
        <v>1</v>
      </c>
      <c r="G279" s="1">
        <f t="shared" si="50"/>
        <v>0</v>
      </c>
      <c r="H279" s="1">
        <f t="shared" si="56"/>
        <v>1</v>
      </c>
      <c r="I279" t="str">
        <f t="shared" si="58"/>
        <v>6</v>
      </c>
      <c r="J279" t="s">
        <v>290</v>
      </c>
      <c r="L279" s="1">
        <f t="shared" si="57"/>
        <v>2</v>
      </c>
      <c r="M279" s="1">
        <f t="shared" si="51"/>
        <v>0</v>
      </c>
      <c r="N279">
        <f t="shared" si="54"/>
        <v>0</v>
      </c>
      <c r="P279" s="13">
        <f t="shared" si="52"/>
        <v>5.5454545454545459</v>
      </c>
      <c r="R279">
        <v>6</v>
      </c>
      <c r="S279">
        <v>4</v>
      </c>
      <c r="T279">
        <v>4</v>
      </c>
      <c r="U279">
        <v>6</v>
      </c>
      <c r="V279">
        <v>5</v>
      </c>
      <c r="W279">
        <v>5</v>
      </c>
      <c r="X279">
        <v>8</v>
      </c>
      <c r="Y279">
        <v>6</v>
      </c>
      <c r="Z279">
        <v>4</v>
      </c>
      <c r="AA279">
        <v>7</v>
      </c>
    </row>
    <row r="280" spans="1:27" x14ac:dyDescent="0.25">
      <c r="A280">
        <f t="shared" si="55"/>
        <v>278</v>
      </c>
      <c r="B280" t="str">
        <f t="shared" si="53"/>
        <v>6a</v>
      </c>
      <c r="D280" s="9">
        <v>10</v>
      </c>
      <c r="E280">
        <f t="shared" si="49"/>
        <v>277</v>
      </c>
      <c r="F280">
        <f t="shared" si="48"/>
        <v>3</v>
      </c>
      <c r="G280" s="1" t="str">
        <f t="shared" si="50"/>
        <v>6</v>
      </c>
      <c r="H280" s="1">
        <f t="shared" si="56"/>
        <v>2</v>
      </c>
      <c r="I280" t="str">
        <f t="shared" si="58"/>
        <v>6.1</v>
      </c>
      <c r="J280" t="s">
        <v>78</v>
      </c>
      <c r="L280" s="1">
        <f t="shared" si="57"/>
        <v>4</v>
      </c>
      <c r="M280" s="1" t="str">
        <f t="shared" si="51"/>
        <v>6</v>
      </c>
      <c r="N280">
        <f t="shared" si="54"/>
        <v>0</v>
      </c>
      <c r="P280" s="13">
        <f t="shared" si="52"/>
        <v>8.9090909090909083</v>
      </c>
      <c r="R280">
        <v>10</v>
      </c>
      <c r="S280">
        <v>10</v>
      </c>
      <c r="T280">
        <v>8</v>
      </c>
      <c r="U280">
        <v>8</v>
      </c>
      <c r="V280">
        <v>4</v>
      </c>
      <c r="W280">
        <v>10</v>
      </c>
      <c r="X280">
        <v>10</v>
      </c>
      <c r="Y280">
        <v>9</v>
      </c>
      <c r="Z280">
        <v>10</v>
      </c>
      <c r="AA280">
        <v>9</v>
      </c>
    </row>
    <row r="281" spans="1:27" x14ac:dyDescent="0.25">
      <c r="A281">
        <f t="shared" si="55"/>
        <v>279</v>
      </c>
      <c r="B281" t="str">
        <f t="shared" si="53"/>
        <v>6b</v>
      </c>
      <c r="D281" s="9">
        <v>8</v>
      </c>
      <c r="E281">
        <f t="shared" si="49"/>
        <v>277</v>
      </c>
      <c r="F281">
        <f t="shared" si="48"/>
        <v>3</v>
      </c>
      <c r="G281" s="1" t="str">
        <f t="shared" si="50"/>
        <v>6</v>
      </c>
      <c r="H281" s="1">
        <f t="shared" si="56"/>
        <v>2</v>
      </c>
      <c r="I281" t="str">
        <f t="shared" si="58"/>
        <v>6.2</v>
      </c>
      <c r="J281" t="s">
        <v>291</v>
      </c>
      <c r="L281" s="1">
        <f t="shared" si="57"/>
        <v>4</v>
      </c>
      <c r="M281" s="1" t="str">
        <f t="shared" si="51"/>
        <v>6</v>
      </c>
      <c r="N281">
        <f t="shared" si="54"/>
        <v>0</v>
      </c>
      <c r="P281" s="13">
        <f t="shared" si="52"/>
        <v>7</v>
      </c>
      <c r="R281">
        <v>8</v>
      </c>
      <c r="S281">
        <v>7</v>
      </c>
      <c r="T281">
        <v>9</v>
      </c>
      <c r="U281">
        <v>7</v>
      </c>
      <c r="V281">
        <v>6</v>
      </c>
      <c r="W281">
        <v>8</v>
      </c>
      <c r="X281">
        <v>6</v>
      </c>
      <c r="Y281">
        <v>9</v>
      </c>
      <c r="Z281">
        <v>2</v>
      </c>
      <c r="AA281">
        <v>7</v>
      </c>
    </row>
    <row r="282" spans="1:27" x14ac:dyDescent="0.25">
      <c r="A282">
        <f t="shared" si="55"/>
        <v>280</v>
      </c>
      <c r="B282" t="str">
        <f t="shared" si="53"/>
        <v>6c</v>
      </c>
      <c r="D282" s="9">
        <v>7</v>
      </c>
      <c r="E282">
        <f t="shared" si="49"/>
        <v>277</v>
      </c>
      <c r="F282">
        <f t="shared" si="48"/>
        <v>3</v>
      </c>
      <c r="G282" s="1" t="str">
        <f t="shared" si="50"/>
        <v>6</v>
      </c>
      <c r="H282" s="1">
        <f t="shared" si="56"/>
        <v>2</v>
      </c>
      <c r="I282" t="str">
        <f t="shared" si="58"/>
        <v>6.3</v>
      </c>
      <c r="J282" t="s">
        <v>79</v>
      </c>
      <c r="L282" s="1">
        <f t="shared" si="57"/>
        <v>4</v>
      </c>
      <c r="M282" s="1" t="str">
        <f t="shared" si="51"/>
        <v>6</v>
      </c>
      <c r="N282">
        <f t="shared" si="54"/>
        <v>0</v>
      </c>
      <c r="P282" s="13">
        <f t="shared" si="52"/>
        <v>7.5454545454545459</v>
      </c>
      <c r="R282">
        <v>6</v>
      </c>
      <c r="S282">
        <v>8</v>
      </c>
      <c r="T282">
        <v>6</v>
      </c>
      <c r="U282">
        <v>9</v>
      </c>
      <c r="V282">
        <v>10</v>
      </c>
      <c r="W282">
        <v>7</v>
      </c>
      <c r="X282">
        <v>5</v>
      </c>
      <c r="Y282">
        <v>8</v>
      </c>
      <c r="Z282">
        <v>9</v>
      </c>
      <c r="AA282">
        <v>8</v>
      </c>
    </row>
    <row r="283" spans="1:27" x14ac:dyDescent="0.25">
      <c r="A283">
        <f t="shared" si="55"/>
        <v>281</v>
      </c>
      <c r="B283" t="str">
        <f t="shared" si="53"/>
        <v>6d</v>
      </c>
      <c r="D283" s="9">
        <v>9</v>
      </c>
      <c r="E283">
        <f t="shared" si="49"/>
        <v>277</v>
      </c>
      <c r="F283">
        <f t="shared" si="48"/>
        <v>3</v>
      </c>
      <c r="G283" s="1" t="str">
        <f t="shared" si="50"/>
        <v>6</v>
      </c>
      <c r="H283" s="1">
        <f t="shared" si="56"/>
        <v>2</v>
      </c>
      <c r="I283" t="str">
        <f t="shared" si="58"/>
        <v>6.4</v>
      </c>
      <c r="J283" t="s">
        <v>292</v>
      </c>
      <c r="L283" s="1">
        <f t="shared" si="57"/>
        <v>4</v>
      </c>
      <c r="M283" s="1" t="str">
        <f t="shared" si="51"/>
        <v>6</v>
      </c>
      <c r="N283">
        <f t="shared" si="54"/>
        <v>0</v>
      </c>
      <c r="P283" s="13">
        <f t="shared" si="52"/>
        <v>8.8181818181818183</v>
      </c>
      <c r="R283">
        <v>10</v>
      </c>
      <c r="S283">
        <v>9</v>
      </c>
      <c r="T283">
        <v>8</v>
      </c>
      <c r="U283">
        <v>10</v>
      </c>
      <c r="V283">
        <v>8</v>
      </c>
      <c r="W283">
        <v>8</v>
      </c>
      <c r="X283">
        <v>10</v>
      </c>
      <c r="Y283">
        <v>8</v>
      </c>
      <c r="Z283">
        <v>9</v>
      </c>
      <c r="AA283">
        <v>8</v>
      </c>
    </row>
    <row r="284" spans="1:27" x14ac:dyDescent="0.25">
      <c r="A284">
        <f t="shared" si="55"/>
        <v>282</v>
      </c>
      <c r="B284" t="str">
        <f t="shared" si="53"/>
        <v>6e</v>
      </c>
      <c r="D284" s="9">
        <v>7</v>
      </c>
      <c r="E284">
        <f t="shared" si="49"/>
        <v>277</v>
      </c>
      <c r="F284">
        <f t="shared" si="48"/>
        <v>3</v>
      </c>
      <c r="G284" s="1" t="str">
        <f t="shared" si="50"/>
        <v>6</v>
      </c>
      <c r="H284" s="1">
        <f t="shared" si="56"/>
        <v>2</v>
      </c>
      <c r="I284" t="str">
        <f t="shared" si="58"/>
        <v>6.5</v>
      </c>
      <c r="J284" t="s">
        <v>80</v>
      </c>
      <c r="L284" s="1">
        <f t="shared" si="57"/>
        <v>4</v>
      </c>
      <c r="M284" s="1" t="str">
        <f t="shared" si="51"/>
        <v>6</v>
      </c>
      <c r="N284">
        <f t="shared" si="54"/>
        <v>0</v>
      </c>
      <c r="P284" s="13">
        <f t="shared" si="52"/>
        <v>6.5454545454545459</v>
      </c>
      <c r="R284">
        <v>8</v>
      </c>
      <c r="S284">
        <v>5</v>
      </c>
      <c r="T284">
        <v>8</v>
      </c>
      <c r="U284">
        <v>6</v>
      </c>
      <c r="V284">
        <v>3</v>
      </c>
      <c r="W284">
        <v>9</v>
      </c>
      <c r="X284">
        <v>6</v>
      </c>
      <c r="Y284">
        <v>5</v>
      </c>
      <c r="Z284">
        <v>8</v>
      </c>
      <c r="AA284">
        <v>7</v>
      </c>
    </row>
    <row r="285" spans="1:27" x14ac:dyDescent="0.25">
      <c r="A285">
        <f t="shared" si="55"/>
        <v>283</v>
      </c>
      <c r="B285" t="str">
        <f t="shared" si="53"/>
        <v>7</v>
      </c>
      <c r="D285" s="8">
        <v>5</v>
      </c>
      <c r="E285">
        <f t="shared" si="49"/>
        <v>0</v>
      </c>
      <c r="F285">
        <f t="shared" si="48"/>
        <v>1</v>
      </c>
      <c r="G285" s="1">
        <f t="shared" si="50"/>
        <v>0</v>
      </c>
      <c r="H285" s="1">
        <f t="shared" si="56"/>
        <v>1</v>
      </c>
      <c r="I285" t="str">
        <f t="shared" si="58"/>
        <v>7</v>
      </c>
      <c r="J285" t="s">
        <v>81</v>
      </c>
      <c r="L285" s="1">
        <f t="shared" si="57"/>
        <v>2</v>
      </c>
      <c r="M285" s="1">
        <f t="shared" si="51"/>
        <v>0</v>
      </c>
      <c r="N285">
        <f t="shared" si="54"/>
        <v>0</v>
      </c>
      <c r="P285" s="13">
        <f t="shared" si="52"/>
        <v>6</v>
      </c>
      <c r="R285">
        <v>5</v>
      </c>
      <c r="S285">
        <v>6</v>
      </c>
      <c r="T285">
        <v>9</v>
      </c>
      <c r="U285">
        <v>6</v>
      </c>
      <c r="V285">
        <v>8</v>
      </c>
      <c r="W285">
        <v>6</v>
      </c>
      <c r="X285">
        <v>5</v>
      </c>
      <c r="Y285">
        <v>6</v>
      </c>
      <c r="Z285">
        <v>4</v>
      </c>
      <c r="AA285">
        <v>6</v>
      </c>
    </row>
    <row r="286" spans="1:27" x14ac:dyDescent="0.25">
      <c r="A286">
        <f t="shared" si="55"/>
        <v>284</v>
      </c>
      <c r="B286" t="str">
        <f t="shared" si="53"/>
        <v>7a</v>
      </c>
      <c r="D286" s="9">
        <v>8</v>
      </c>
      <c r="E286">
        <f t="shared" si="49"/>
        <v>283</v>
      </c>
      <c r="F286">
        <f t="shared" si="48"/>
        <v>3</v>
      </c>
      <c r="G286" s="1" t="str">
        <f t="shared" si="50"/>
        <v>7</v>
      </c>
      <c r="H286" s="1">
        <f t="shared" si="56"/>
        <v>2</v>
      </c>
      <c r="I286" t="str">
        <f t="shared" si="58"/>
        <v>7.1</v>
      </c>
      <c r="J286" t="s">
        <v>82</v>
      </c>
      <c r="L286" s="1">
        <f t="shared" si="57"/>
        <v>4</v>
      </c>
      <c r="M286" s="1" t="str">
        <f t="shared" si="51"/>
        <v>7</v>
      </c>
      <c r="N286">
        <f t="shared" si="54"/>
        <v>0</v>
      </c>
      <c r="P286" s="13">
        <f t="shared" si="52"/>
        <v>7.8181818181818183</v>
      </c>
      <c r="R286">
        <v>8</v>
      </c>
      <c r="S286">
        <v>8</v>
      </c>
      <c r="T286">
        <v>6</v>
      </c>
      <c r="U286">
        <v>7</v>
      </c>
      <c r="V286">
        <v>10</v>
      </c>
      <c r="W286">
        <v>7</v>
      </c>
      <c r="X286">
        <v>7</v>
      </c>
      <c r="Y286">
        <v>8</v>
      </c>
      <c r="Z286">
        <v>9</v>
      </c>
      <c r="AA286">
        <v>8</v>
      </c>
    </row>
    <row r="287" spans="1:27" x14ac:dyDescent="0.25">
      <c r="A287">
        <f t="shared" si="55"/>
        <v>285</v>
      </c>
      <c r="B287" t="str">
        <f t="shared" si="53"/>
        <v>7a1</v>
      </c>
      <c r="D287" s="10">
        <v>9</v>
      </c>
      <c r="E287">
        <f t="shared" si="49"/>
        <v>284</v>
      </c>
      <c r="F287">
        <f t="shared" si="48"/>
        <v>5</v>
      </c>
      <c r="G287" s="1" t="str">
        <f t="shared" si="50"/>
        <v>7.1</v>
      </c>
      <c r="H287" s="1">
        <f t="shared" si="56"/>
        <v>3</v>
      </c>
      <c r="I287" t="str">
        <f t="shared" si="58"/>
        <v>7.1.1</v>
      </c>
      <c r="J287" t="s">
        <v>293</v>
      </c>
      <c r="L287" s="1">
        <f t="shared" si="57"/>
        <v>6</v>
      </c>
      <c r="M287" s="1" t="str">
        <f t="shared" si="51"/>
        <v>7.1</v>
      </c>
      <c r="N287">
        <f t="shared" si="54"/>
        <v>0</v>
      </c>
      <c r="P287" s="13">
        <f t="shared" si="52"/>
        <v>9.0909090909090917</v>
      </c>
      <c r="R287">
        <v>9</v>
      </c>
      <c r="S287">
        <v>10</v>
      </c>
      <c r="T287">
        <v>10</v>
      </c>
      <c r="U287">
        <v>9</v>
      </c>
      <c r="V287">
        <v>10</v>
      </c>
      <c r="W287">
        <v>10</v>
      </c>
      <c r="X287">
        <v>10</v>
      </c>
      <c r="Y287">
        <v>7</v>
      </c>
      <c r="Z287">
        <v>7</v>
      </c>
      <c r="AA287">
        <v>9</v>
      </c>
    </row>
    <row r="288" spans="1:27" x14ac:dyDescent="0.25">
      <c r="A288">
        <f t="shared" si="55"/>
        <v>286</v>
      </c>
      <c r="B288" t="str">
        <f t="shared" si="53"/>
        <v>7a2</v>
      </c>
      <c r="D288" s="10">
        <v>10</v>
      </c>
      <c r="E288">
        <f t="shared" si="49"/>
        <v>284</v>
      </c>
      <c r="F288">
        <f t="shared" si="48"/>
        <v>5</v>
      </c>
      <c r="G288" s="1" t="str">
        <f t="shared" si="50"/>
        <v>7.1</v>
      </c>
      <c r="H288" s="1">
        <f t="shared" si="56"/>
        <v>3</v>
      </c>
      <c r="I288" t="str">
        <f t="shared" si="58"/>
        <v>7.1.2</v>
      </c>
      <c r="J288" t="s">
        <v>294</v>
      </c>
      <c r="L288" s="1">
        <f t="shared" si="57"/>
        <v>6</v>
      </c>
      <c r="M288" s="1" t="str">
        <f t="shared" si="51"/>
        <v>7.1</v>
      </c>
      <c r="N288">
        <f t="shared" si="54"/>
        <v>0</v>
      </c>
      <c r="P288" s="13">
        <f t="shared" si="52"/>
        <v>9.0909090909090917</v>
      </c>
      <c r="R288">
        <v>9</v>
      </c>
      <c r="S288">
        <v>9</v>
      </c>
      <c r="T288">
        <v>10</v>
      </c>
      <c r="U288">
        <v>10</v>
      </c>
      <c r="V288">
        <v>10</v>
      </c>
      <c r="W288">
        <v>10</v>
      </c>
      <c r="X288">
        <v>10</v>
      </c>
      <c r="Y288">
        <v>9</v>
      </c>
      <c r="Z288">
        <v>4</v>
      </c>
      <c r="AA288">
        <v>9</v>
      </c>
    </row>
    <row r="289" spans="1:27" x14ac:dyDescent="0.25">
      <c r="A289">
        <f t="shared" si="55"/>
        <v>287</v>
      </c>
      <c r="B289" t="str">
        <f t="shared" si="53"/>
        <v>7a2a</v>
      </c>
      <c r="D289" s="3">
        <v>10</v>
      </c>
      <c r="E289">
        <f t="shared" si="49"/>
        <v>286</v>
      </c>
      <c r="F289">
        <f t="shared" si="48"/>
        <v>7</v>
      </c>
      <c r="G289" s="1" t="str">
        <f t="shared" si="50"/>
        <v>7.1.2</v>
      </c>
      <c r="H289" s="1">
        <f t="shared" si="56"/>
        <v>4</v>
      </c>
      <c r="I289" t="str">
        <f t="shared" si="58"/>
        <v>7.1.2.1</v>
      </c>
      <c r="J289" t="s">
        <v>295</v>
      </c>
      <c r="L289" s="1">
        <f t="shared" si="57"/>
        <v>8</v>
      </c>
      <c r="M289" s="1" t="str">
        <f t="shared" si="51"/>
        <v>7.1.2</v>
      </c>
      <c r="N289">
        <f t="shared" si="54"/>
        <v>0</v>
      </c>
      <c r="P289" s="13">
        <f t="shared" si="52"/>
        <v>9.2727272727272734</v>
      </c>
      <c r="R289">
        <v>9</v>
      </c>
      <c r="S289">
        <v>10</v>
      </c>
      <c r="T289">
        <v>10</v>
      </c>
      <c r="U289">
        <v>9</v>
      </c>
      <c r="V289">
        <v>10</v>
      </c>
      <c r="W289">
        <v>9</v>
      </c>
      <c r="X289">
        <v>9</v>
      </c>
      <c r="Y289">
        <v>10</v>
      </c>
      <c r="Z289">
        <v>7</v>
      </c>
      <c r="AA289">
        <v>9</v>
      </c>
    </row>
    <row r="290" spans="1:27" x14ac:dyDescent="0.25">
      <c r="A290">
        <f t="shared" si="55"/>
        <v>288</v>
      </c>
      <c r="B290" t="str">
        <f t="shared" si="53"/>
        <v>7a2b</v>
      </c>
      <c r="D290" s="3">
        <v>8</v>
      </c>
      <c r="E290">
        <f t="shared" si="49"/>
        <v>286</v>
      </c>
      <c r="F290">
        <f t="shared" si="48"/>
        <v>7</v>
      </c>
      <c r="G290" s="1" t="str">
        <f t="shared" si="50"/>
        <v>7.1.2</v>
      </c>
      <c r="H290" s="1">
        <f t="shared" si="56"/>
        <v>4</v>
      </c>
      <c r="I290" t="str">
        <f t="shared" si="58"/>
        <v>7.1.2.2</v>
      </c>
      <c r="J290" t="s">
        <v>296</v>
      </c>
      <c r="L290" s="1">
        <f t="shared" si="57"/>
        <v>8</v>
      </c>
      <c r="M290" s="1" t="str">
        <f t="shared" si="51"/>
        <v>7.1.2</v>
      </c>
      <c r="N290">
        <f t="shared" si="54"/>
        <v>0</v>
      </c>
      <c r="P290" s="13">
        <f t="shared" si="52"/>
        <v>7.9090909090909092</v>
      </c>
      <c r="R290">
        <v>8</v>
      </c>
      <c r="S290">
        <v>9</v>
      </c>
      <c r="T290">
        <v>6</v>
      </c>
      <c r="U290">
        <v>7</v>
      </c>
      <c r="V290">
        <v>8</v>
      </c>
      <c r="W290">
        <v>8</v>
      </c>
      <c r="X290">
        <v>9</v>
      </c>
      <c r="Y290">
        <v>9</v>
      </c>
      <c r="Z290">
        <v>7</v>
      </c>
      <c r="AA290">
        <v>8</v>
      </c>
    </row>
    <row r="291" spans="1:27" x14ac:dyDescent="0.25">
      <c r="A291">
        <f t="shared" si="55"/>
        <v>289</v>
      </c>
      <c r="B291" t="str">
        <f t="shared" si="53"/>
        <v>7a2c</v>
      </c>
      <c r="D291" s="3">
        <v>9</v>
      </c>
      <c r="E291">
        <f t="shared" si="49"/>
        <v>286</v>
      </c>
      <c r="F291">
        <f t="shared" si="48"/>
        <v>7</v>
      </c>
      <c r="G291" s="1" t="str">
        <f t="shared" si="50"/>
        <v>7.1.2</v>
      </c>
      <c r="H291" s="1">
        <f t="shared" si="56"/>
        <v>4</v>
      </c>
      <c r="I291" t="str">
        <f t="shared" si="58"/>
        <v>7.1.2.3</v>
      </c>
      <c r="J291" t="s">
        <v>297</v>
      </c>
      <c r="L291" s="1">
        <f t="shared" si="57"/>
        <v>8</v>
      </c>
      <c r="M291" s="1" t="str">
        <f t="shared" si="51"/>
        <v>7.1.2</v>
      </c>
      <c r="N291">
        <f t="shared" si="54"/>
        <v>0</v>
      </c>
      <c r="P291" s="13">
        <f t="shared" si="52"/>
        <v>8.1818181818181817</v>
      </c>
      <c r="R291">
        <v>9</v>
      </c>
      <c r="S291">
        <v>7</v>
      </c>
      <c r="T291">
        <v>5</v>
      </c>
      <c r="U291">
        <v>8</v>
      </c>
      <c r="V291">
        <v>9</v>
      </c>
      <c r="W291">
        <v>9</v>
      </c>
      <c r="X291">
        <v>8</v>
      </c>
      <c r="Y291">
        <v>8</v>
      </c>
      <c r="Z291">
        <v>9</v>
      </c>
      <c r="AA291">
        <v>9</v>
      </c>
    </row>
    <row r="292" spans="1:27" x14ac:dyDescent="0.25">
      <c r="A292">
        <f t="shared" si="55"/>
        <v>290</v>
      </c>
      <c r="B292" t="str">
        <f t="shared" si="53"/>
        <v>7a3</v>
      </c>
      <c r="D292" s="10">
        <v>7</v>
      </c>
      <c r="E292">
        <f t="shared" si="49"/>
        <v>284</v>
      </c>
      <c r="F292">
        <f t="shared" si="48"/>
        <v>5</v>
      </c>
      <c r="G292" s="1" t="str">
        <f t="shared" si="50"/>
        <v>7.1</v>
      </c>
      <c r="H292" s="1">
        <f t="shared" si="56"/>
        <v>3</v>
      </c>
      <c r="I292" t="str">
        <f t="shared" si="58"/>
        <v>7.1.3</v>
      </c>
      <c r="J292" t="s">
        <v>298</v>
      </c>
      <c r="L292" s="1">
        <f t="shared" si="57"/>
        <v>6</v>
      </c>
      <c r="M292" s="1" t="str">
        <f t="shared" si="51"/>
        <v>7.1</v>
      </c>
      <c r="N292">
        <f t="shared" si="54"/>
        <v>0</v>
      </c>
      <c r="P292" s="13">
        <f t="shared" si="52"/>
        <v>6.9090909090909092</v>
      </c>
      <c r="R292">
        <v>8</v>
      </c>
      <c r="S292">
        <v>9</v>
      </c>
      <c r="T292">
        <v>7</v>
      </c>
      <c r="U292">
        <v>10</v>
      </c>
      <c r="V292">
        <v>6</v>
      </c>
      <c r="W292">
        <v>7</v>
      </c>
      <c r="X292">
        <v>8</v>
      </c>
      <c r="Y292">
        <v>6</v>
      </c>
      <c r="Z292">
        <v>0</v>
      </c>
      <c r="AA292">
        <v>8</v>
      </c>
    </row>
    <row r="293" spans="1:27" x14ac:dyDescent="0.25">
      <c r="A293">
        <f t="shared" si="55"/>
        <v>291</v>
      </c>
      <c r="B293" t="str">
        <f t="shared" si="53"/>
        <v>7a4</v>
      </c>
      <c r="D293" s="10">
        <v>7</v>
      </c>
      <c r="E293">
        <f t="shared" si="49"/>
        <v>284</v>
      </c>
      <c r="F293">
        <f t="shared" si="48"/>
        <v>5</v>
      </c>
      <c r="G293" s="1" t="str">
        <f t="shared" si="50"/>
        <v>7.1</v>
      </c>
      <c r="H293" s="1">
        <f t="shared" si="56"/>
        <v>3</v>
      </c>
      <c r="I293" t="str">
        <f t="shared" si="58"/>
        <v>7.1.4</v>
      </c>
      <c r="J293" t="s">
        <v>299</v>
      </c>
      <c r="L293" s="1">
        <f t="shared" si="57"/>
        <v>6</v>
      </c>
      <c r="M293" s="1" t="str">
        <f t="shared" si="51"/>
        <v>7.1</v>
      </c>
      <c r="N293">
        <f t="shared" si="54"/>
        <v>0</v>
      </c>
      <c r="P293" s="13">
        <f t="shared" si="52"/>
        <v>6.4545454545454541</v>
      </c>
      <c r="R293">
        <v>6</v>
      </c>
      <c r="S293">
        <v>7</v>
      </c>
      <c r="T293">
        <v>9</v>
      </c>
      <c r="U293">
        <v>7</v>
      </c>
      <c r="V293">
        <v>5</v>
      </c>
      <c r="W293">
        <v>6</v>
      </c>
      <c r="X293">
        <v>9</v>
      </c>
      <c r="Y293">
        <v>5</v>
      </c>
      <c r="Z293">
        <v>2</v>
      </c>
      <c r="AA293">
        <v>8</v>
      </c>
    </row>
    <row r="294" spans="1:27" x14ac:dyDescent="0.25">
      <c r="A294">
        <f t="shared" si="55"/>
        <v>292</v>
      </c>
      <c r="B294" t="str">
        <f t="shared" si="53"/>
        <v>7a5</v>
      </c>
      <c r="D294" s="10">
        <v>6</v>
      </c>
      <c r="E294">
        <f t="shared" si="49"/>
        <v>284</v>
      </c>
      <c r="F294">
        <f t="shared" si="48"/>
        <v>5</v>
      </c>
      <c r="G294" s="1" t="str">
        <f t="shared" si="50"/>
        <v>7.1</v>
      </c>
      <c r="H294" s="1">
        <f t="shared" si="56"/>
        <v>3</v>
      </c>
      <c r="I294" t="str">
        <f t="shared" si="58"/>
        <v>7.1.5</v>
      </c>
      <c r="J294" t="s">
        <v>300</v>
      </c>
      <c r="L294" s="1">
        <f t="shared" si="57"/>
        <v>6</v>
      </c>
      <c r="M294" s="1" t="str">
        <f t="shared" si="51"/>
        <v>7.1</v>
      </c>
      <c r="N294">
        <f t="shared" si="54"/>
        <v>0</v>
      </c>
      <c r="P294" s="13">
        <f t="shared" si="52"/>
        <v>6.2727272727272725</v>
      </c>
      <c r="R294">
        <v>6</v>
      </c>
      <c r="S294">
        <v>7</v>
      </c>
      <c r="T294">
        <v>6</v>
      </c>
      <c r="U294">
        <v>6</v>
      </c>
      <c r="V294">
        <v>7</v>
      </c>
      <c r="W294">
        <v>8</v>
      </c>
      <c r="X294">
        <v>7</v>
      </c>
      <c r="Y294">
        <v>6</v>
      </c>
      <c r="Z294">
        <v>5</v>
      </c>
      <c r="AA294">
        <v>5</v>
      </c>
    </row>
    <row r="295" spans="1:27" x14ac:dyDescent="0.25">
      <c r="A295">
        <f t="shared" si="55"/>
        <v>293</v>
      </c>
      <c r="B295" t="str">
        <f t="shared" si="53"/>
        <v>7a6</v>
      </c>
      <c r="D295" s="10">
        <v>6</v>
      </c>
      <c r="E295">
        <f t="shared" si="49"/>
        <v>284</v>
      </c>
      <c r="F295">
        <f t="shared" si="48"/>
        <v>5</v>
      </c>
      <c r="G295" s="1" t="str">
        <f t="shared" si="50"/>
        <v>7.1</v>
      </c>
      <c r="H295" s="1">
        <f t="shared" si="56"/>
        <v>3</v>
      </c>
      <c r="I295" t="str">
        <f t="shared" si="58"/>
        <v>7.1.6</v>
      </c>
      <c r="J295" t="s">
        <v>301</v>
      </c>
      <c r="L295" s="1">
        <f t="shared" si="57"/>
        <v>6</v>
      </c>
      <c r="M295" s="1" t="str">
        <f t="shared" si="51"/>
        <v>7.1</v>
      </c>
      <c r="N295">
        <f t="shared" si="54"/>
        <v>0</v>
      </c>
      <c r="P295" s="13">
        <f t="shared" si="52"/>
        <v>5.9090909090909092</v>
      </c>
      <c r="R295">
        <v>6</v>
      </c>
      <c r="S295">
        <v>5</v>
      </c>
      <c r="T295">
        <v>9</v>
      </c>
      <c r="U295">
        <v>5</v>
      </c>
      <c r="V295">
        <v>3</v>
      </c>
      <c r="W295">
        <v>7</v>
      </c>
      <c r="X295">
        <v>6</v>
      </c>
      <c r="Y295">
        <v>5</v>
      </c>
      <c r="Z295">
        <v>7</v>
      </c>
      <c r="AA295">
        <v>6</v>
      </c>
    </row>
    <row r="296" spans="1:27" x14ac:dyDescent="0.25">
      <c r="A296">
        <f t="shared" si="55"/>
        <v>294</v>
      </c>
      <c r="B296" t="str">
        <f t="shared" si="53"/>
        <v>7b</v>
      </c>
      <c r="D296" s="9">
        <v>9</v>
      </c>
      <c r="E296">
        <f t="shared" si="49"/>
        <v>283</v>
      </c>
      <c r="F296">
        <f t="shared" si="48"/>
        <v>3</v>
      </c>
      <c r="G296" s="1" t="str">
        <f t="shared" si="50"/>
        <v>7</v>
      </c>
      <c r="H296" s="1">
        <f t="shared" si="56"/>
        <v>2</v>
      </c>
      <c r="I296" t="str">
        <f t="shared" si="58"/>
        <v>7.2</v>
      </c>
      <c r="J296" t="s">
        <v>302</v>
      </c>
      <c r="L296" s="1">
        <f t="shared" si="57"/>
        <v>4</v>
      </c>
      <c r="M296" s="1" t="str">
        <f t="shared" si="51"/>
        <v>7</v>
      </c>
      <c r="N296">
        <f t="shared" si="54"/>
        <v>0</v>
      </c>
      <c r="P296" s="13">
        <f t="shared" si="52"/>
        <v>8.3636363636363633</v>
      </c>
      <c r="R296">
        <v>7</v>
      </c>
      <c r="S296">
        <v>7</v>
      </c>
      <c r="T296">
        <v>5</v>
      </c>
      <c r="U296">
        <v>9</v>
      </c>
      <c r="V296">
        <v>10</v>
      </c>
      <c r="W296">
        <v>10</v>
      </c>
      <c r="X296">
        <v>8</v>
      </c>
      <c r="Y296">
        <v>7</v>
      </c>
      <c r="Z296">
        <v>10</v>
      </c>
      <c r="AA296">
        <v>10</v>
      </c>
    </row>
    <row r="297" spans="1:27" x14ac:dyDescent="0.25">
      <c r="A297">
        <f t="shared" si="55"/>
        <v>295</v>
      </c>
      <c r="B297" t="str">
        <f t="shared" si="53"/>
        <v>7c</v>
      </c>
      <c r="D297" s="9">
        <v>9</v>
      </c>
      <c r="E297">
        <f t="shared" si="49"/>
        <v>283</v>
      </c>
      <c r="F297">
        <f t="shared" si="48"/>
        <v>3</v>
      </c>
      <c r="G297" s="1" t="str">
        <f t="shared" si="50"/>
        <v>7</v>
      </c>
      <c r="H297" s="1">
        <f t="shared" si="56"/>
        <v>2</v>
      </c>
      <c r="I297" t="str">
        <f t="shared" si="58"/>
        <v>7.3</v>
      </c>
      <c r="J297" t="s">
        <v>303</v>
      </c>
      <c r="L297" s="1">
        <f t="shared" si="57"/>
        <v>4</v>
      </c>
      <c r="M297" s="1" t="str">
        <f t="shared" si="51"/>
        <v>7</v>
      </c>
      <c r="N297">
        <f t="shared" si="54"/>
        <v>0</v>
      </c>
      <c r="P297" s="13">
        <f t="shared" si="52"/>
        <v>8.1818181818181817</v>
      </c>
      <c r="R297">
        <v>9</v>
      </c>
      <c r="S297">
        <v>8</v>
      </c>
      <c r="T297">
        <v>3</v>
      </c>
      <c r="U297">
        <v>10</v>
      </c>
      <c r="V297">
        <v>5</v>
      </c>
      <c r="W297">
        <v>9</v>
      </c>
      <c r="X297">
        <v>8</v>
      </c>
      <c r="Y297">
        <v>10</v>
      </c>
      <c r="Z297">
        <v>10</v>
      </c>
      <c r="AA297">
        <v>9</v>
      </c>
    </row>
    <row r="298" spans="1:27" x14ac:dyDescent="0.25">
      <c r="A298">
        <f t="shared" si="55"/>
        <v>296</v>
      </c>
      <c r="B298" t="str">
        <f t="shared" si="53"/>
        <v>8</v>
      </c>
      <c r="D298" s="8">
        <v>6</v>
      </c>
      <c r="E298">
        <f t="shared" si="49"/>
        <v>0</v>
      </c>
      <c r="F298">
        <f t="shared" si="48"/>
        <v>1</v>
      </c>
      <c r="G298" s="1">
        <f t="shared" si="50"/>
        <v>0</v>
      </c>
      <c r="H298" s="1">
        <f t="shared" si="56"/>
        <v>1</v>
      </c>
      <c r="I298" t="str">
        <f t="shared" si="58"/>
        <v>8</v>
      </c>
      <c r="J298" t="s">
        <v>304</v>
      </c>
      <c r="L298" s="1">
        <f t="shared" si="57"/>
        <v>2</v>
      </c>
      <c r="M298" s="1">
        <f t="shared" si="51"/>
        <v>0</v>
      </c>
      <c r="N298">
        <f t="shared" si="54"/>
        <v>0</v>
      </c>
      <c r="P298" s="13">
        <f t="shared" si="52"/>
        <v>5.6363636363636367</v>
      </c>
      <c r="R298">
        <v>5</v>
      </c>
      <c r="S298">
        <v>5</v>
      </c>
      <c r="T298">
        <v>5</v>
      </c>
      <c r="U298">
        <v>7</v>
      </c>
      <c r="V298">
        <v>7</v>
      </c>
      <c r="W298">
        <v>5</v>
      </c>
      <c r="X298">
        <v>6</v>
      </c>
      <c r="Y298">
        <v>5</v>
      </c>
      <c r="Z298">
        <v>4</v>
      </c>
      <c r="AA298">
        <v>7</v>
      </c>
    </row>
    <row r="299" spans="1:27" x14ac:dyDescent="0.25">
      <c r="A299">
        <f t="shared" si="55"/>
        <v>297</v>
      </c>
      <c r="B299" t="str">
        <f t="shared" si="53"/>
        <v>8a</v>
      </c>
      <c r="D299" s="9">
        <v>10</v>
      </c>
      <c r="E299">
        <f t="shared" si="49"/>
        <v>296</v>
      </c>
      <c r="F299">
        <f t="shared" si="48"/>
        <v>3</v>
      </c>
      <c r="G299" s="1" t="str">
        <f t="shared" si="50"/>
        <v>8</v>
      </c>
      <c r="H299" s="1">
        <f t="shared" si="56"/>
        <v>2</v>
      </c>
      <c r="I299" t="str">
        <f t="shared" si="58"/>
        <v>8.1</v>
      </c>
      <c r="J299" t="s">
        <v>305</v>
      </c>
      <c r="L299" s="1">
        <f t="shared" si="57"/>
        <v>4</v>
      </c>
      <c r="M299" s="1" t="str">
        <f t="shared" si="51"/>
        <v>8</v>
      </c>
      <c r="N299">
        <f t="shared" si="54"/>
        <v>0</v>
      </c>
      <c r="P299" s="13">
        <f t="shared" si="52"/>
        <v>9.454545454545455</v>
      </c>
      <c r="R299">
        <v>9</v>
      </c>
      <c r="S299">
        <v>10</v>
      </c>
      <c r="T299">
        <v>8</v>
      </c>
      <c r="U299">
        <v>10</v>
      </c>
      <c r="V299">
        <v>7</v>
      </c>
      <c r="W299">
        <v>10</v>
      </c>
      <c r="X299">
        <v>10</v>
      </c>
      <c r="Y299">
        <v>10</v>
      </c>
      <c r="Z299">
        <v>10</v>
      </c>
      <c r="AA299">
        <v>10</v>
      </c>
    </row>
    <row r="300" spans="1:27" x14ac:dyDescent="0.25">
      <c r="A300">
        <f t="shared" si="55"/>
        <v>298</v>
      </c>
      <c r="B300" t="str">
        <f t="shared" si="53"/>
        <v>8a1</v>
      </c>
      <c r="D300" s="10">
        <v>9</v>
      </c>
      <c r="E300">
        <f t="shared" si="49"/>
        <v>297</v>
      </c>
      <c r="F300">
        <f t="shared" si="48"/>
        <v>5</v>
      </c>
      <c r="G300" s="1" t="str">
        <f t="shared" si="50"/>
        <v>8.1</v>
      </c>
      <c r="H300" s="1">
        <f t="shared" si="56"/>
        <v>3</v>
      </c>
      <c r="I300" t="str">
        <f t="shared" si="58"/>
        <v>8.1.1</v>
      </c>
      <c r="J300" t="s">
        <v>306</v>
      </c>
      <c r="L300" s="1">
        <f t="shared" si="57"/>
        <v>6</v>
      </c>
      <c r="M300" s="1" t="str">
        <f t="shared" si="51"/>
        <v>8.1</v>
      </c>
      <c r="N300">
        <f t="shared" si="54"/>
        <v>0</v>
      </c>
      <c r="P300" s="13">
        <f t="shared" si="52"/>
        <v>8.454545454545455</v>
      </c>
      <c r="R300">
        <v>9</v>
      </c>
      <c r="S300">
        <v>10</v>
      </c>
      <c r="T300">
        <v>7</v>
      </c>
      <c r="U300">
        <v>10</v>
      </c>
      <c r="V300">
        <v>10</v>
      </c>
      <c r="W300">
        <v>7</v>
      </c>
      <c r="X300">
        <v>9</v>
      </c>
      <c r="Y300">
        <v>8</v>
      </c>
      <c r="Z300">
        <v>6</v>
      </c>
      <c r="AA300">
        <v>8</v>
      </c>
    </row>
    <row r="301" spans="1:27" x14ac:dyDescent="0.25">
      <c r="A301">
        <f t="shared" si="55"/>
        <v>299</v>
      </c>
      <c r="B301" t="str">
        <f t="shared" si="53"/>
        <v>8a2</v>
      </c>
      <c r="D301" s="10">
        <v>9</v>
      </c>
      <c r="E301">
        <f t="shared" si="49"/>
        <v>297</v>
      </c>
      <c r="F301">
        <f t="shared" si="48"/>
        <v>5</v>
      </c>
      <c r="G301" s="1" t="str">
        <f t="shared" si="50"/>
        <v>8.1</v>
      </c>
      <c r="H301" s="1">
        <f t="shared" si="56"/>
        <v>3</v>
      </c>
      <c r="I301" t="str">
        <f t="shared" si="58"/>
        <v>8.1.2</v>
      </c>
      <c r="J301" t="s">
        <v>307</v>
      </c>
      <c r="L301" s="1">
        <f t="shared" si="57"/>
        <v>6</v>
      </c>
      <c r="M301" s="1" t="str">
        <f t="shared" si="51"/>
        <v>8.1</v>
      </c>
      <c r="N301">
        <f t="shared" si="54"/>
        <v>0</v>
      </c>
      <c r="P301" s="13">
        <f t="shared" si="52"/>
        <v>9.0909090909090917</v>
      </c>
      <c r="R301">
        <v>9</v>
      </c>
      <c r="S301">
        <v>8</v>
      </c>
      <c r="T301">
        <v>8</v>
      </c>
      <c r="U301">
        <v>10</v>
      </c>
      <c r="V301">
        <v>10</v>
      </c>
      <c r="W301">
        <v>8</v>
      </c>
      <c r="X301">
        <v>9</v>
      </c>
      <c r="Y301">
        <v>10</v>
      </c>
      <c r="Z301">
        <v>10</v>
      </c>
      <c r="AA301">
        <v>9</v>
      </c>
    </row>
    <row r="302" spans="1:27" x14ac:dyDescent="0.25">
      <c r="A302">
        <f t="shared" si="55"/>
        <v>300</v>
      </c>
      <c r="B302" t="str">
        <f t="shared" si="53"/>
        <v>8a3</v>
      </c>
      <c r="D302" s="10">
        <v>7</v>
      </c>
      <c r="E302">
        <f t="shared" si="49"/>
        <v>297</v>
      </c>
      <c r="F302">
        <f t="shared" si="48"/>
        <v>5</v>
      </c>
      <c r="G302" s="1" t="str">
        <f t="shared" si="50"/>
        <v>8.1</v>
      </c>
      <c r="H302" s="1">
        <f t="shared" si="56"/>
        <v>3</v>
      </c>
      <c r="I302" t="str">
        <f t="shared" si="58"/>
        <v>8.1.3</v>
      </c>
      <c r="J302" t="s">
        <v>308</v>
      </c>
      <c r="L302" s="1">
        <f t="shared" si="57"/>
        <v>6</v>
      </c>
      <c r="M302" s="1" t="str">
        <f t="shared" si="51"/>
        <v>8.1</v>
      </c>
      <c r="N302">
        <f t="shared" si="54"/>
        <v>0</v>
      </c>
      <c r="P302" s="13">
        <f t="shared" si="52"/>
        <v>7</v>
      </c>
      <c r="R302">
        <v>7</v>
      </c>
      <c r="S302">
        <v>5</v>
      </c>
      <c r="T302">
        <v>6</v>
      </c>
      <c r="U302">
        <v>7</v>
      </c>
      <c r="V302">
        <v>7</v>
      </c>
      <c r="W302">
        <v>8</v>
      </c>
      <c r="X302">
        <v>7</v>
      </c>
      <c r="Y302">
        <v>6</v>
      </c>
      <c r="Z302">
        <v>10</v>
      </c>
      <c r="AA302">
        <v>7</v>
      </c>
    </row>
    <row r="303" spans="1:27" x14ac:dyDescent="0.25">
      <c r="A303">
        <f t="shared" si="55"/>
        <v>301</v>
      </c>
      <c r="B303" t="str">
        <f t="shared" si="53"/>
        <v>8b</v>
      </c>
      <c r="D303" s="9">
        <v>10</v>
      </c>
      <c r="E303">
        <f t="shared" si="49"/>
        <v>296</v>
      </c>
      <c r="F303">
        <f t="shared" si="48"/>
        <v>3</v>
      </c>
      <c r="G303" s="1" t="str">
        <f t="shared" si="50"/>
        <v>8</v>
      </c>
      <c r="H303" s="1">
        <f t="shared" si="56"/>
        <v>2</v>
      </c>
      <c r="I303" t="str">
        <f t="shared" si="58"/>
        <v>8.2</v>
      </c>
      <c r="J303" t="s">
        <v>309</v>
      </c>
      <c r="L303" s="1">
        <f t="shared" si="57"/>
        <v>4</v>
      </c>
      <c r="M303" s="1" t="str">
        <f t="shared" si="51"/>
        <v>8</v>
      </c>
      <c r="N303">
        <f t="shared" si="54"/>
        <v>0</v>
      </c>
      <c r="P303" s="13">
        <f t="shared" si="52"/>
        <v>9.8181818181818183</v>
      </c>
      <c r="R303">
        <v>10</v>
      </c>
      <c r="S303">
        <v>10</v>
      </c>
      <c r="T303">
        <v>10</v>
      </c>
      <c r="U303">
        <v>9</v>
      </c>
      <c r="V303">
        <v>10</v>
      </c>
      <c r="W303">
        <v>10</v>
      </c>
      <c r="X303">
        <v>10</v>
      </c>
      <c r="Y303">
        <v>9</v>
      </c>
      <c r="Z303">
        <v>10</v>
      </c>
      <c r="AA303">
        <v>10</v>
      </c>
    </row>
    <row r="304" spans="1:27" x14ac:dyDescent="0.25">
      <c r="A304">
        <f t="shared" si="55"/>
        <v>302</v>
      </c>
      <c r="B304" t="str">
        <f t="shared" si="53"/>
        <v>9</v>
      </c>
      <c r="D304" s="8">
        <v>4</v>
      </c>
      <c r="E304">
        <f t="shared" si="49"/>
        <v>0</v>
      </c>
      <c r="F304">
        <f t="shared" si="48"/>
        <v>1</v>
      </c>
      <c r="G304" s="1">
        <f t="shared" si="50"/>
        <v>0</v>
      </c>
      <c r="H304" s="1">
        <f t="shared" si="56"/>
        <v>1</v>
      </c>
      <c r="I304" t="str">
        <f t="shared" si="58"/>
        <v>9</v>
      </c>
      <c r="J304" t="s">
        <v>632</v>
      </c>
      <c r="L304" s="1">
        <f t="shared" si="57"/>
        <v>2</v>
      </c>
      <c r="M304" s="1">
        <f t="shared" si="51"/>
        <v>0</v>
      </c>
      <c r="N304">
        <f t="shared" si="54"/>
        <v>0</v>
      </c>
      <c r="P304" s="13">
        <f t="shared" si="52"/>
        <v>4.7272727272727275</v>
      </c>
      <c r="R304">
        <v>4</v>
      </c>
      <c r="S304">
        <v>7</v>
      </c>
      <c r="T304">
        <v>5</v>
      </c>
      <c r="U304">
        <v>4</v>
      </c>
      <c r="V304">
        <v>6</v>
      </c>
      <c r="W304">
        <v>5</v>
      </c>
      <c r="X304">
        <v>3</v>
      </c>
      <c r="Y304">
        <v>5</v>
      </c>
      <c r="Z304">
        <v>5</v>
      </c>
      <c r="AA304">
        <v>4</v>
      </c>
    </row>
    <row r="305" spans="1:27" x14ac:dyDescent="0.25">
      <c r="A305">
        <f t="shared" si="55"/>
        <v>303</v>
      </c>
      <c r="B305" t="str">
        <f t="shared" si="53"/>
        <v>9a</v>
      </c>
      <c r="D305" s="9">
        <v>7</v>
      </c>
      <c r="E305">
        <f t="shared" si="49"/>
        <v>302</v>
      </c>
      <c r="F305">
        <f t="shared" si="48"/>
        <v>3</v>
      </c>
      <c r="G305" s="1" t="str">
        <f t="shared" si="50"/>
        <v>9</v>
      </c>
      <c r="H305" s="1">
        <f t="shared" si="56"/>
        <v>2</v>
      </c>
      <c r="I305" t="str">
        <f t="shared" si="58"/>
        <v>9.1</v>
      </c>
      <c r="J305" t="s">
        <v>83</v>
      </c>
      <c r="L305" s="1">
        <f t="shared" si="57"/>
        <v>4</v>
      </c>
      <c r="M305" s="1" t="str">
        <f t="shared" si="51"/>
        <v>9</v>
      </c>
      <c r="N305">
        <f t="shared" si="54"/>
        <v>0</v>
      </c>
      <c r="P305" s="13">
        <f t="shared" si="52"/>
        <v>7.5454545454545459</v>
      </c>
      <c r="R305">
        <v>7</v>
      </c>
      <c r="S305">
        <v>7</v>
      </c>
      <c r="T305">
        <v>8</v>
      </c>
      <c r="U305">
        <v>7</v>
      </c>
      <c r="V305">
        <v>10</v>
      </c>
      <c r="W305">
        <v>8</v>
      </c>
      <c r="X305">
        <v>5</v>
      </c>
      <c r="Y305">
        <v>7</v>
      </c>
      <c r="Z305">
        <v>10</v>
      </c>
      <c r="AA305">
        <v>7</v>
      </c>
    </row>
    <row r="306" spans="1:27" x14ac:dyDescent="0.25">
      <c r="A306">
        <f t="shared" si="55"/>
        <v>304</v>
      </c>
      <c r="B306" t="str">
        <f t="shared" si="53"/>
        <v>9b</v>
      </c>
      <c r="D306" s="9">
        <v>9</v>
      </c>
      <c r="E306">
        <f t="shared" si="49"/>
        <v>302</v>
      </c>
      <c r="F306">
        <f t="shared" si="48"/>
        <v>3</v>
      </c>
      <c r="G306" s="1" t="str">
        <f t="shared" si="50"/>
        <v>9</v>
      </c>
      <c r="H306" s="1">
        <f t="shared" si="56"/>
        <v>2</v>
      </c>
      <c r="I306" t="str">
        <f t="shared" si="58"/>
        <v>9.2</v>
      </c>
      <c r="J306" t="s">
        <v>95</v>
      </c>
      <c r="L306" s="1">
        <f t="shared" si="57"/>
        <v>4</v>
      </c>
      <c r="M306" s="1" t="str">
        <f t="shared" si="51"/>
        <v>9</v>
      </c>
      <c r="N306">
        <f t="shared" si="54"/>
        <v>0</v>
      </c>
      <c r="P306" s="13">
        <f t="shared" si="52"/>
        <v>8.8181818181818183</v>
      </c>
      <c r="R306">
        <v>9</v>
      </c>
      <c r="S306">
        <v>10</v>
      </c>
      <c r="T306">
        <v>8</v>
      </c>
      <c r="U306">
        <v>9</v>
      </c>
      <c r="V306">
        <v>7</v>
      </c>
      <c r="W306">
        <v>9</v>
      </c>
      <c r="X306">
        <v>9</v>
      </c>
      <c r="Y306">
        <v>9</v>
      </c>
      <c r="Z306">
        <v>10</v>
      </c>
      <c r="AA306">
        <v>8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rgb="FFFF0000"/>
  </sheetPr>
  <dimension ref="A1:D306"/>
  <sheetViews>
    <sheetView tabSelected="1" workbookViewId="0">
      <selection activeCell="F23" sqref="F23"/>
    </sheetView>
  </sheetViews>
  <sheetFormatPr defaultRowHeight="15" x14ac:dyDescent="0.25"/>
  <cols>
    <col min="3" max="3" width="62.28515625" customWidth="1"/>
  </cols>
  <sheetData>
    <row r="1" spans="1:4" ht="15.75" x14ac:dyDescent="0.25">
      <c r="A1" s="4" t="s">
        <v>84</v>
      </c>
      <c r="B1" s="4" t="s">
        <v>101</v>
      </c>
      <c r="C1" s="4" t="s">
        <v>102</v>
      </c>
      <c r="D1" s="6" t="s">
        <v>103</v>
      </c>
    </row>
    <row r="2" spans="1:4" ht="15.75" x14ac:dyDescent="0.25">
      <c r="A2" s="4">
        <f>weight!H2</f>
        <v>0</v>
      </c>
      <c r="B2" s="4">
        <f>weight!I2</f>
        <v>0</v>
      </c>
      <c r="C2" s="4" t="s">
        <v>631</v>
      </c>
      <c r="D2" s="5"/>
    </row>
    <row r="3" spans="1:4" ht="31.5" x14ac:dyDescent="0.25">
      <c r="A3" s="16">
        <f>weight!H3</f>
        <v>1</v>
      </c>
      <c r="B3" s="16" t="str">
        <f>weight!I3</f>
        <v>1</v>
      </c>
      <c r="C3" s="17" t="str">
        <f>TRIM(СжПробелы1(RIGHT(weight!J3,LEN(weight!J3)-LEN(weight!I3)-1)))</f>
        <v>Караульная служба - Повышение боеготовности. Подготовка к выезду на пожар</v>
      </c>
      <c r="D3" s="16">
        <f>weight!D3</f>
        <v>9</v>
      </c>
    </row>
    <row r="4" spans="1:4" ht="15.75" x14ac:dyDescent="0.25">
      <c r="A4" s="4">
        <f>weight!H4</f>
        <v>2</v>
      </c>
      <c r="B4" s="4" t="str">
        <f>weight!I4</f>
        <v>1.1</v>
      </c>
      <c r="C4" s="7" t="str">
        <f>TRIM(СжПробелы1(RIGHT(weight!J4,LEN(weight!J4)-LEN(weight!I4)-1)))</f>
        <v>Повышение уровня обучения личного состава</v>
      </c>
      <c r="D4" s="4">
        <f>weight!D4</f>
        <v>10</v>
      </c>
    </row>
    <row r="5" spans="1:4" ht="15.75" x14ac:dyDescent="0.25">
      <c r="A5" s="4">
        <f>weight!H5</f>
        <v>3</v>
      </c>
      <c r="B5" s="4" t="str">
        <f>weight!I5</f>
        <v>1.1.1</v>
      </c>
      <c r="C5" s="7" t="str">
        <f>TRIM(СжПробелы1(RIGHT(weight!J5,LEN(weight!J5)-LEN(weight!I5)-1)))</f>
        <v>Рациональная организация и планирование обучения</v>
      </c>
      <c r="D5" s="4">
        <f>weight!D5</f>
        <v>9</v>
      </c>
    </row>
    <row r="6" spans="1:4" ht="15.75" x14ac:dyDescent="0.25">
      <c r="A6" s="4">
        <f>weight!H6</f>
        <v>4</v>
      </c>
      <c r="B6" s="4" t="str">
        <f>weight!I6</f>
        <v>1.1.1.1</v>
      </c>
      <c r="C6" s="7" t="str">
        <f>TRIM(СжПробелы1(RIGHT(weight!J6,LEN(weight!J6)-LEN(weight!I6)-1)))</f>
        <v>Правильная постановка цели обучения</v>
      </c>
      <c r="D6" s="4">
        <f>weight!D6</f>
        <v>10</v>
      </c>
    </row>
    <row r="7" spans="1:4" ht="31.5" x14ac:dyDescent="0.25">
      <c r="A7" s="4">
        <f>weight!H7</f>
        <v>4</v>
      </c>
      <c r="B7" s="4" t="str">
        <f>weight!I7</f>
        <v>1.1.1.2</v>
      </c>
      <c r="C7" s="7" t="str">
        <f>TRIM(СжПробелы1(RIGHT(weight!J7,LEN(weight!J7)-LEN(weight!I7)-1)))</f>
        <v>Правильное планирование учебной нагрузки на учебный год</v>
      </c>
      <c r="D7" s="4">
        <f>weight!D7</f>
        <v>9</v>
      </c>
    </row>
    <row r="8" spans="1:4" ht="15.75" x14ac:dyDescent="0.25">
      <c r="A8" s="4">
        <f>weight!H8</f>
        <v>4</v>
      </c>
      <c r="B8" s="4" t="str">
        <f>weight!I8</f>
        <v>1.1.1.3</v>
      </c>
      <c r="C8" s="7" t="str">
        <f>TRIM(СжПробелы1(RIGHT(weight!J8,LEN(weight!J8)-LEN(weight!I8)-1)))</f>
        <v>Правильная организация занятий в период дежурства</v>
      </c>
      <c r="D8" s="4">
        <f>weight!D8</f>
        <v>9</v>
      </c>
    </row>
    <row r="9" spans="1:4" ht="31.5" x14ac:dyDescent="0.25">
      <c r="A9" s="4">
        <f>weight!H9</f>
        <v>4</v>
      </c>
      <c r="B9" s="4" t="str">
        <f>weight!I9</f>
        <v>1.1.1.4</v>
      </c>
      <c r="C9" s="7" t="str">
        <f>TRIM(СжПробелы1(RIGHT(weight!J9,LEN(weight!J9)-LEN(weight!I9)-1)))</f>
        <v>Организация самостоятельного изучения и практической отработки профессиональных навыков</v>
      </c>
      <c r="D9" s="4">
        <f>weight!D9</f>
        <v>8</v>
      </c>
    </row>
    <row r="10" spans="1:4" ht="15.75" x14ac:dyDescent="0.25">
      <c r="A10" s="4">
        <f>weight!H10</f>
        <v>4</v>
      </c>
      <c r="B10" s="4" t="str">
        <f>weight!I10</f>
        <v>1.1.1.5</v>
      </c>
      <c r="C10" s="7" t="str">
        <f>TRIM(СжПробелы1(RIGHT(weight!J10,LEN(weight!J10)-LEN(weight!I10)-1)))</f>
        <v>Планирование мероприятий по охране труда</v>
      </c>
      <c r="D10" s="4">
        <f>weight!D10</f>
        <v>7</v>
      </c>
    </row>
    <row r="11" spans="1:4" ht="15.75" x14ac:dyDescent="0.25">
      <c r="A11" s="4">
        <f>weight!H11</f>
        <v>3</v>
      </c>
      <c r="B11" s="4" t="str">
        <f>weight!I11</f>
        <v>1.1.2</v>
      </c>
      <c r="C11" s="7" t="str">
        <f>TRIM(СжПробелы1(RIGHT(weight!J11,LEN(weight!J11)-LEN(weight!I11)-1)))</f>
        <v>Специальное оборудованное помещение класс</v>
      </c>
      <c r="D11" s="4">
        <f>weight!D11</f>
        <v>9</v>
      </c>
    </row>
    <row r="12" spans="1:4" ht="31.5" x14ac:dyDescent="0.25">
      <c r="A12" s="4">
        <f>weight!H12</f>
        <v>4</v>
      </c>
      <c r="B12" s="4" t="str">
        <f>weight!I12</f>
        <v>1.1.2.1</v>
      </c>
      <c r="C12" s="7" t="str">
        <f>TRIM(СжПробелы1(RIGHT(weight!J12,LEN(weight!J12)-LEN(weight!I12)-1)))</f>
        <v>Наличие специального помещения для занятий возможно совмещение с другими помещениями</v>
      </c>
      <c r="D12" s="4">
        <f>weight!D12</f>
        <v>9</v>
      </c>
    </row>
    <row r="13" spans="1:4" ht="15.75" x14ac:dyDescent="0.25">
      <c r="A13" s="4">
        <f>weight!H13</f>
        <v>4</v>
      </c>
      <c r="B13" s="4" t="str">
        <f>weight!I13</f>
        <v>1.1.2.2</v>
      </c>
      <c r="C13" s="7" t="str">
        <f>TRIM(СжПробелы1(RIGHT(weight!J13,LEN(weight!J13)-LEN(weight!I13)-1)))</f>
        <v>Наличие специального учебного оборудования и мебели</v>
      </c>
      <c r="D13" s="4">
        <f>weight!D13</f>
        <v>7</v>
      </c>
    </row>
    <row r="14" spans="1:4" ht="31.5" x14ac:dyDescent="0.25">
      <c r="A14" s="4">
        <f>weight!H14</f>
        <v>4</v>
      </c>
      <c r="B14" s="4" t="str">
        <f>weight!I14</f>
        <v>1.1.2.3</v>
      </c>
      <c r="C14" s="7" t="str">
        <f>TRIM(СжПробелы1(RIGHT(weight!J14,LEN(weight!J14)-LEN(weight!I14)-1)))</f>
        <v>Наличие и достаточность учебной литературы соответствующего уровня</v>
      </c>
      <c r="D14" s="4">
        <f>weight!D14</f>
        <v>9</v>
      </c>
    </row>
    <row r="15" spans="1:4" ht="15.75" x14ac:dyDescent="0.25">
      <c r="A15" s="4">
        <f>weight!H15</f>
        <v>4</v>
      </c>
      <c r="B15" s="4" t="str">
        <f>weight!I15</f>
        <v>1.1.2.4</v>
      </c>
      <c r="C15" s="7" t="str">
        <f>TRIM(СжПробелы1(RIGHT(weight!J15,LEN(weight!J15)-LEN(weight!I15)-1)))</f>
        <v>Наличие письменных принадлежностей и оргтехники</v>
      </c>
      <c r="D15" s="4">
        <f>weight!D15</f>
        <v>7</v>
      </c>
    </row>
    <row r="16" spans="1:4" ht="15.75" x14ac:dyDescent="0.25">
      <c r="A16" s="4">
        <f>weight!H16</f>
        <v>4</v>
      </c>
      <c r="B16" s="4" t="str">
        <f>weight!I16</f>
        <v>1.1.2.5</v>
      </c>
      <c r="C16" s="7" t="str">
        <f>TRIM(СжПробелы1(RIGHT(weight!J16,LEN(weight!J16)-LEN(weight!I16)-1)))</f>
        <v>Контроль и обеспечение санитарно-гигиенических условий</v>
      </c>
      <c r="D16" s="4">
        <f>weight!D16</f>
        <v>6</v>
      </c>
    </row>
    <row r="17" spans="1:4" ht="15.75" x14ac:dyDescent="0.25">
      <c r="A17" s="4">
        <f>weight!H17</f>
        <v>4</v>
      </c>
      <c r="B17" s="4" t="str">
        <f>weight!I17</f>
        <v>1.1.2.6</v>
      </c>
      <c r="C17" s="7" t="str">
        <f>TRIM(СжПробелы1(RIGHT(weight!J17,LEN(weight!J17)-LEN(weight!I17)-1)))</f>
        <v>Условия для быстрого выезда по сигналу Тревога</v>
      </c>
      <c r="D17" s="4">
        <f>weight!D17</f>
        <v>7</v>
      </c>
    </row>
    <row r="18" spans="1:4" ht="31.5" x14ac:dyDescent="0.25">
      <c r="A18" s="4">
        <f>weight!H18</f>
        <v>4</v>
      </c>
      <c r="B18" s="4" t="str">
        <f>weight!I18</f>
        <v>1.1.2.7</v>
      </c>
      <c r="C18" s="7" t="str">
        <f>TRIM(СжПробелы1(RIGHT(weight!J18,LEN(weight!J18)-LEN(weight!I18)-1)))</f>
        <v>Контроль и обеспечение условий для соблюдения нормативных требований по охране труда</v>
      </c>
      <c r="D18" s="4">
        <f>weight!D18</f>
        <v>6</v>
      </c>
    </row>
    <row r="19" spans="1:4" ht="31.5" x14ac:dyDescent="0.25">
      <c r="A19" s="4">
        <f>weight!H19</f>
        <v>4</v>
      </c>
      <c r="B19" s="4" t="str">
        <f>weight!I19</f>
        <v>1.1.2.8</v>
      </c>
      <c r="C19" s="7" t="str">
        <f>TRIM(СжПробелы1(RIGHT(weight!J19,LEN(weight!J19)-LEN(weight!I19)-1)))</f>
        <v>Обеспечение охраны от проникновения посторонних или воздействия внешних негативных факторов</v>
      </c>
      <c r="D19" s="4">
        <f>weight!D19</f>
        <v>5</v>
      </c>
    </row>
    <row r="20" spans="1:4" ht="31.5" x14ac:dyDescent="0.25">
      <c r="A20" s="4">
        <f>weight!H20</f>
        <v>3</v>
      </c>
      <c r="B20" s="4" t="str">
        <f>weight!I20</f>
        <v>1.1.3</v>
      </c>
      <c r="C20" s="7" t="str">
        <f>TRIM(СжПробелы1(RIGHT(weight!J20,LEN(weight!J20)-LEN(weight!I20)-1)))</f>
        <v>Объекты для отработки специальных навыков на территории подразделения</v>
      </c>
      <c r="D20" s="4">
        <f>weight!D20</f>
        <v>10</v>
      </c>
    </row>
    <row r="21" spans="1:4" ht="15.75" x14ac:dyDescent="0.25">
      <c r="A21" s="4">
        <f>weight!H21</f>
        <v>4</v>
      </c>
      <c r="B21" s="4" t="str">
        <f>weight!I21</f>
        <v>1.1.3.1</v>
      </c>
      <c r="C21" s="7" t="str">
        <f>TRIM(СжПробелы1(RIGHT(weight!J21,LEN(weight!J21)-LEN(weight!I21)-1)))</f>
        <v>Отработка навыков подъема и работы на высоте</v>
      </c>
      <c r="D21" s="4">
        <f>weight!D21</f>
        <v>9</v>
      </c>
    </row>
    <row r="22" spans="1:4" ht="31.5" x14ac:dyDescent="0.25">
      <c r="A22" s="4">
        <f>weight!H22</f>
        <v>5</v>
      </c>
      <c r="B22" s="4" t="str">
        <f>weight!I22</f>
        <v>1.1.3.1.1</v>
      </c>
      <c r="C22" s="7" t="str">
        <f>TRIM(СжПробелы1(RIGHT(weight!J22,LEN(weight!J22)-LEN(weight!I22)-1)))</f>
        <v>Подъем и спуск по маршевым лестницам личного состава и оборудования</v>
      </c>
      <c r="D22" s="4">
        <f>weight!D22</f>
        <v>8</v>
      </c>
    </row>
    <row r="23" spans="1:4" ht="31.5" x14ac:dyDescent="0.25">
      <c r="A23" s="4">
        <f>weight!H23</f>
        <v>5</v>
      </c>
      <c r="B23" s="4" t="str">
        <f>weight!I23</f>
        <v>1.1.3.1.2</v>
      </c>
      <c r="C23" s="7" t="str">
        <f>TRIM(СжПробелы1(RIGHT(weight!J23,LEN(weight!J23)-LEN(weight!I23)-1)))</f>
        <v>Подъем и спуск по ручной выдвижной лестнице личного состава и оборудования</v>
      </c>
      <c r="D23" s="4">
        <f>weight!D23</f>
        <v>9</v>
      </c>
    </row>
    <row r="24" spans="1:4" ht="31.5" x14ac:dyDescent="0.25">
      <c r="A24" s="4">
        <f>weight!H24</f>
        <v>5</v>
      </c>
      <c r="B24" s="4" t="str">
        <f>weight!I24</f>
        <v>1.1.3.1.3</v>
      </c>
      <c r="C24" s="7" t="str">
        <f>TRIM(СжПробелы1(RIGHT(weight!J24,LEN(weight!J24)-LEN(weight!I24)-1)))</f>
        <v>Подъем и спуск по ручной штурмовой лестнице личного состава и оборудования</v>
      </c>
      <c r="D24" s="4">
        <f>weight!D24</f>
        <v>6</v>
      </c>
    </row>
    <row r="25" spans="1:4" ht="31.5" x14ac:dyDescent="0.25">
      <c r="A25" s="4">
        <f>weight!H25</f>
        <v>5</v>
      </c>
      <c r="B25" s="4" t="str">
        <f>weight!I25</f>
        <v>1.1.3.1.4</v>
      </c>
      <c r="C25" s="7" t="str">
        <f>TRIM(СжПробелы1(RIGHT(weight!J25,LEN(weight!J25)-LEN(weight!I25)-1)))</f>
        <v>Подъем и спуск по ручной лестнице-палке личного состава и оборудования</v>
      </c>
      <c r="D25" s="4">
        <f>weight!D25</f>
        <v>7</v>
      </c>
    </row>
    <row r="26" spans="1:4" ht="31.5" x14ac:dyDescent="0.25">
      <c r="A26" s="4">
        <f>weight!H26</f>
        <v>5</v>
      </c>
      <c r="B26" s="4" t="str">
        <f>weight!I26</f>
        <v>1.1.3.1.5</v>
      </c>
      <c r="C26" s="7" t="str">
        <f>TRIM(СжПробелы1(RIGHT(weight!J26,LEN(weight!J26)-LEN(weight!I26)-1)))</f>
        <v>Подъем и спуск по выдвижной автомобильной лестнице личного состава и оборудования</v>
      </c>
      <c r="D26" s="4">
        <f>weight!D26</f>
        <v>8</v>
      </c>
    </row>
    <row r="27" spans="1:4" ht="47.25" x14ac:dyDescent="0.25">
      <c r="A27" s="4">
        <f>weight!H27</f>
        <v>5</v>
      </c>
      <c r="B27" s="4" t="str">
        <f>weight!I27</f>
        <v>1.1.3.1.6</v>
      </c>
      <c r="C27" s="7" t="str">
        <f>TRIM(СжПробелы1(RIGHT(weight!J27,LEN(weight!J27)-LEN(weight!I27)-1)))</f>
        <v>Подъем и спуск личного состава и оборудования с помощью автомобильного коленчатого или телескопического подъемника</v>
      </c>
      <c r="D27" s="4">
        <f>weight!D27</f>
        <v>8</v>
      </c>
    </row>
    <row r="28" spans="1:4" ht="31.5" x14ac:dyDescent="0.25">
      <c r="A28" s="4">
        <f>weight!H28</f>
        <v>5</v>
      </c>
      <c r="B28" s="4" t="str">
        <f>weight!I28</f>
        <v>1.1.3.1.7</v>
      </c>
      <c r="C28" s="7" t="str">
        <f>TRIM(СжПробелы1(RIGHT(weight!J28,LEN(weight!J28)-LEN(weight!I28)-1)))</f>
        <v>Работа на высоте на стенах и перекрытиях и других высотных элементах зданий и сооружений</v>
      </c>
      <c r="D28" s="4">
        <f>weight!D28</f>
        <v>8</v>
      </c>
    </row>
    <row r="29" spans="1:4" ht="15.75" x14ac:dyDescent="0.25">
      <c r="A29" s="4">
        <f>weight!H29</f>
        <v>5</v>
      </c>
      <c r="B29" s="4" t="str">
        <f>weight!I29</f>
        <v>1.1.3.1.8</v>
      </c>
      <c r="C29" s="7" t="str">
        <f>TRIM(СжПробелы1(RIGHT(weight!J29,LEN(weight!J29)-LEN(weight!I29)-1)))</f>
        <v>Выработка навыков слаженных действий и взаимовыручки</v>
      </c>
      <c r="D29" s="4">
        <f>weight!D29</f>
        <v>10</v>
      </c>
    </row>
    <row r="30" spans="1:4" ht="15.75" x14ac:dyDescent="0.25">
      <c r="A30" s="4">
        <f>weight!H30</f>
        <v>5</v>
      </c>
      <c r="B30" s="4" t="str">
        <f>weight!I30</f>
        <v>1.1.3.1.9</v>
      </c>
      <c r="C30" s="7" t="str">
        <f>TRIM(СжПробелы1(RIGHT(weight!J30,LEN(weight!J30)-LEN(weight!I30)-1)))</f>
        <v>Обеспечение безопасных условий работы</v>
      </c>
      <c r="D30" s="4">
        <f>weight!D30</f>
        <v>7</v>
      </c>
    </row>
    <row r="31" spans="1:4" ht="31.5" x14ac:dyDescent="0.25">
      <c r="A31" s="4">
        <f>weight!H31</f>
        <v>4</v>
      </c>
      <c r="B31" s="4" t="str">
        <f>weight!I31</f>
        <v>1.1.3.2</v>
      </c>
      <c r="C31" s="7" t="str">
        <f>TRIM(СжПробелы1(RIGHT(weight!J31,LEN(weight!J31)-LEN(weight!I31)-1)))</f>
        <v>Отработка действий по выполнению боевых задач в условиях задымления</v>
      </c>
      <c r="D31" s="4">
        <f>weight!D31</f>
        <v>9</v>
      </c>
    </row>
    <row r="32" spans="1:4" ht="31.5" x14ac:dyDescent="0.25">
      <c r="A32" s="4">
        <f>weight!H32</f>
        <v>5</v>
      </c>
      <c r="B32" s="4" t="str">
        <f>weight!I32</f>
        <v>1.1.3.2.1</v>
      </c>
      <c r="C32" s="7" t="str">
        <f>TRIM(СжПробелы1(RIGHT(weight!J32,LEN(weight!J32)-LEN(weight!I32)-1)))</f>
        <v>Навыки ориентирования и передвижения в условиях ограниченной видимости</v>
      </c>
      <c r="D32" s="4">
        <f>weight!D32</f>
        <v>10</v>
      </c>
    </row>
    <row r="33" spans="1:4" ht="63" x14ac:dyDescent="0.25">
      <c r="A33" s="4">
        <f>weight!H33</f>
        <v>5</v>
      </c>
      <c r="B33" s="4" t="str">
        <f>weight!I33</f>
        <v>1.1.3.2.2</v>
      </c>
      <c r="C33" s="7" t="str">
        <f>TRIM(СжПробелы1(RIGHT(weight!J33,LEN(weight!J33)-LEN(weight!I33)-1)))</f>
        <v>Обеспечение условий для собственного дыхания в задымленной атмосфере и др. приемы и способы сохранения жизни и здоровья использование СИЗОД передвижения в зонах с доступом свежего воздуха и т.п.</v>
      </c>
      <c r="D33" s="4">
        <f>weight!D33</f>
        <v>10</v>
      </c>
    </row>
    <row r="34" spans="1:4" ht="15.75" x14ac:dyDescent="0.25">
      <c r="A34" s="4">
        <f>weight!H34</f>
        <v>5</v>
      </c>
      <c r="B34" s="4" t="str">
        <f>weight!I34</f>
        <v>1.1.3.2.3</v>
      </c>
      <c r="C34" s="7" t="str">
        <f>TRIM(СжПробелы1(RIGHT(weight!J34,LEN(weight!J34)-LEN(weight!I34)-1)))</f>
        <v>Навыки работы с СИЗОД</v>
      </c>
      <c r="D34" s="4">
        <f>weight!D34</f>
        <v>8</v>
      </c>
    </row>
    <row r="35" spans="1:4" ht="31.5" x14ac:dyDescent="0.25">
      <c r="A35" s="4">
        <f>weight!H35</f>
        <v>5</v>
      </c>
      <c r="B35" s="4" t="str">
        <f>weight!I35</f>
        <v>1.1.3.2.4</v>
      </c>
      <c r="C35" s="7" t="str">
        <f>TRIM(СжПробелы1(RIGHT(weight!J35,LEN(weight!J35)-LEN(weight!I35)-1)))</f>
        <v>Поиск и эвакуация пострадавших людей в условиях задымления</v>
      </c>
      <c r="D35" s="4">
        <f>weight!D35</f>
        <v>7</v>
      </c>
    </row>
    <row r="36" spans="1:4" ht="15.75" x14ac:dyDescent="0.25">
      <c r="A36" s="4">
        <f>weight!H36</f>
        <v>5</v>
      </c>
      <c r="B36" s="4" t="str">
        <f>weight!I36</f>
        <v>1.1.3.2.5</v>
      </c>
      <c r="C36" s="7" t="str">
        <f>TRIM(СжПробелы1(RIGHT(weight!J36,LEN(weight!J36)-LEN(weight!I36)-1)))</f>
        <v>Поиск очага пожара</v>
      </c>
      <c r="D36" s="4">
        <f>weight!D36</f>
        <v>8</v>
      </c>
    </row>
    <row r="37" spans="1:4" ht="15.75" x14ac:dyDescent="0.25">
      <c r="A37" s="4">
        <f>weight!H37</f>
        <v>5</v>
      </c>
      <c r="B37" s="4" t="str">
        <f>weight!I37</f>
        <v>1.1.3.2.6</v>
      </c>
      <c r="C37" s="7" t="str">
        <f>TRIM(СжПробелы1(RIGHT(weight!J37,LEN(weight!J37)-LEN(weight!I37)-1)))</f>
        <v>Прокладка рукавных линий</v>
      </c>
      <c r="D37" s="4">
        <f>weight!D37</f>
        <v>8</v>
      </c>
    </row>
    <row r="38" spans="1:4" ht="15.75" x14ac:dyDescent="0.25">
      <c r="A38" s="4">
        <f>weight!H38</f>
        <v>5</v>
      </c>
      <c r="B38" s="4" t="str">
        <f>weight!I38</f>
        <v>1.1.3.2.7</v>
      </c>
      <c r="C38" s="7" t="str">
        <f>TRIM(СжПробелы1(RIGHT(weight!J38,LEN(weight!J38)-LEN(weight!I38)-1)))</f>
        <v>Поиск и отключение технологического оборудования</v>
      </c>
      <c r="D38" s="4">
        <f>weight!D38</f>
        <v>8</v>
      </c>
    </row>
    <row r="39" spans="1:4" ht="47.25" x14ac:dyDescent="0.25">
      <c r="A39" s="4">
        <f>weight!H39</f>
        <v>5</v>
      </c>
      <c r="B39" s="4" t="str">
        <f>weight!I39</f>
        <v>1.1.3.2.8</v>
      </c>
      <c r="C39" s="7" t="str">
        <f>TRIM(СжПробелы1(RIGHT(weight!J39,LEN(weight!J39)-LEN(weight!I39)-1)))</f>
        <v>Обнаружение и поиск возможностей обхода мест возможной опасности прогары в перекрытиях опасные вещества и материалы</v>
      </c>
      <c r="D39" s="4">
        <f>weight!D39</f>
        <v>9</v>
      </c>
    </row>
    <row r="40" spans="1:4" ht="31.5" x14ac:dyDescent="0.25">
      <c r="A40" s="4">
        <f>weight!H40</f>
        <v>5</v>
      </c>
      <c r="B40" s="4" t="str">
        <f>weight!I40</f>
        <v>1.1.3.2.9</v>
      </c>
      <c r="C40" s="7" t="str">
        <f>TRIM(СжПробелы1(RIGHT(weight!J40,LEN(weight!J40)-LEN(weight!I40)-1)))</f>
        <v>Работа с ручными и механизированными пожарными и спасательными инструментами</v>
      </c>
      <c r="D40" s="4">
        <f>weight!D40</f>
        <v>8</v>
      </c>
    </row>
    <row r="41" spans="1:4" ht="15.75" x14ac:dyDescent="0.25">
      <c r="A41" s="4">
        <f>weight!H41</f>
        <v>5</v>
      </c>
      <c r="B41" s="4" t="str">
        <f>weight!I41</f>
        <v>1.1.3.2.10</v>
      </c>
      <c r="C41" s="7" t="str">
        <f>TRIM(СжПробелы1(RIGHT(weight!J41,LEN(weight!J41)-LEN(weight!I41)-1)))</f>
        <v>Выработка навыков слаженных действий и взаимовыручки</v>
      </c>
      <c r="D41" s="4">
        <f>weight!D41</f>
        <v>10</v>
      </c>
    </row>
    <row r="42" spans="1:4" ht="15.75" x14ac:dyDescent="0.25">
      <c r="A42" s="4">
        <f>weight!H42</f>
        <v>5</v>
      </c>
      <c r="B42" s="4" t="str">
        <f>weight!I42</f>
        <v>1.1.3.2.11</v>
      </c>
      <c r="C42" s="7" t="str">
        <f>TRIM(СжПробелы1(RIGHT(weight!J42,LEN(weight!J42)-LEN(weight!I42)-1)))</f>
        <v>Обеспечение безопасных условий работы</v>
      </c>
      <c r="D42" s="4">
        <f>weight!D42</f>
        <v>7</v>
      </c>
    </row>
    <row r="43" spans="1:4" ht="15.75" x14ac:dyDescent="0.25">
      <c r="A43" s="4">
        <f>weight!H43</f>
        <v>4</v>
      </c>
      <c r="B43" s="4" t="str">
        <f>weight!I43</f>
        <v>1.1.3.3</v>
      </c>
      <c r="C43" s="7" t="str">
        <f>TRIM(СжПробелы1(RIGHT(weight!J43,LEN(weight!J43)-LEN(weight!I43)-1)))</f>
        <v>Действия в условиях высокой температуры</v>
      </c>
      <c r="D43" s="4">
        <f>weight!D43</f>
        <v>9</v>
      </c>
    </row>
    <row r="44" spans="1:4" ht="31.5" x14ac:dyDescent="0.25">
      <c r="A44" s="4">
        <f>weight!H44</f>
        <v>5</v>
      </c>
      <c r="B44" s="4" t="str">
        <f>weight!I44</f>
        <v>1.1.3.3.1</v>
      </c>
      <c r="C44" s="7" t="str">
        <f>TRIM(СжПробелы1(RIGHT(weight!J44,LEN(weight!J44)-LEN(weight!I44)-1)))</f>
        <v>Навыки передвижения и работы в условиях высокой температуры</v>
      </c>
      <c r="D44" s="4">
        <v>1</v>
      </c>
    </row>
    <row r="45" spans="1:4" ht="31.5" x14ac:dyDescent="0.25">
      <c r="A45" s="4">
        <f>weight!H45</f>
        <v>5</v>
      </c>
      <c r="B45" s="4" t="str">
        <f>weight!I45</f>
        <v>1.1.3.3.2</v>
      </c>
      <c r="C45" s="7" t="str">
        <f>TRIM(СжПробелы1(RIGHT(weight!J45,LEN(weight!J45)-LEN(weight!I45)-1)))</f>
        <v>Защита от воздействия высокой температуры личного состава</v>
      </c>
      <c r="D45" s="4">
        <f>weight!D45</f>
        <v>9</v>
      </c>
    </row>
    <row r="46" spans="1:4" ht="31.5" x14ac:dyDescent="0.25">
      <c r="A46" s="4">
        <f>weight!H46</f>
        <v>5</v>
      </c>
      <c r="B46" s="4" t="str">
        <f>weight!I46</f>
        <v>1.1.3.3.3</v>
      </c>
      <c r="C46" s="7" t="str">
        <f>TRIM(СжПробелы1(RIGHT(weight!J46,LEN(weight!J46)-LEN(weight!I46)-1)))</f>
        <v>Защита от воздействия высокой температуры рукавных линий и другого оборудования</v>
      </c>
      <c r="D46" s="4">
        <f>weight!D46</f>
        <v>8</v>
      </c>
    </row>
    <row r="47" spans="1:4" ht="15.75" x14ac:dyDescent="0.25">
      <c r="A47" s="4">
        <f>weight!H47</f>
        <v>5</v>
      </c>
      <c r="B47" s="4" t="str">
        <f>weight!I47</f>
        <v>1.1.3.3.4</v>
      </c>
      <c r="C47" s="7" t="str">
        <f>TRIM(СжПробелы1(RIGHT(weight!J47,LEN(weight!J47)-LEN(weight!I47)-1)))</f>
        <v>Выработка навыков слаженных действий и взаимовыручки</v>
      </c>
      <c r="D47" s="4">
        <f>weight!D47</f>
        <v>10</v>
      </c>
    </row>
    <row r="48" spans="1:4" ht="15.75" x14ac:dyDescent="0.25">
      <c r="A48" s="4">
        <f>weight!H48</f>
        <v>5</v>
      </c>
      <c r="B48" s="4" t="str">
        <f>weight!I48</f>
        <v>1.1.3.3.5</v>
      </c>
      <c r="C48" s="7" t="str">
        <f>TRIM(СжПробелы1(RIGHT(weight!J48,LEN(weight!J48)-LEN(weight!I48)-1)))</f>
        <v>Обеспечение безопасных условий работы</v>
      </c>
      <c r="D48" s="4">
        <f>weight!D48</f>
        <v>7</v>
      </c>
    </row>
    <row r="49" spans="1:4" ht="15.75" x14ac:dyDescent="0.25">
      <c r="A49" s="4">
        <f>weight!H49</f>
        <v>4</v>
      </c>
      <c r="B49" s="4" t="str">
        <f>weight!I49</f>
        <v>1.1.3.4</v>
      </c>
      <c r="C49" s="7" t="str">
        <f>TRIM(СжПробелы1(RIGHT(weight!J49,LEN(weight!J49)-LEN(weight!I49)-1)))</f>
        <v>Оказание помощи и транспортировка пострадавшего</v>
      </c>
      <c r="D49" s="4">
        <f>weight!D49</f>
        <v>7</v>
      </c>
    </row>
    <row r="50" spans="1:4" ht="31.5" x14ac:dyDescent="0.25">
      <c r="A50" s="4">
        <f>weight!H50</f>
        <v>5</v>
      </c>
      <c r="B50" s="4" t="str">
        <f>weight!I50</f>
        <v>1.1.3.4.1</v>
      </c>
      <c r="C50" s="7" t="str">
        <f>TRIM(СжПробелы1(RIGHT(weight!J50,LEN(weight!J50)-LEN(weight!I50)-1)))</f>
        <v>Безопасные и эффективные приемы и способы транспортировки пострадавшего</v>
      </c>
      <c r="D50" s="4">
        <f>weight!D50</f>
        <v>9</v>
      </c>
    </row>
    <row r="51" spans="1:4" ht="15.75" x14ac:dyDescent="0.25">
      <c r="A51" s="4">
        <f>weight!H51</f>
        <v>5</v>
      </c>
      <c r="B51" s="4" t="str">
        <f>weight!I51</f>
        <v>1.1.3.4.2</v>
      </c>
      <c r="C51" s="7" t="str">
        <f>TRIM(СжПробелы1(RIGHT(weight!J51,LEN(weight!J51)-LEN(weight!I51)-1)))</f>
        <v>Контроль состояния пострадавшего</v>
      </c>
      <c r="D51" s="4">
        <f>weight!D51</f>
        <v>7</v>
      </c>
    </row>
    <row r="52" spans="1:4" ht="15.75" x14ac:dyDescent="0.25">
      <c r="A52" s="4">
        <f>weight!H52</f>
        <v>5</v>
      </c>
      <c r="B52" s="4" t="str">
        <f>weight!I52</f>
        <v>1.1.3.4.3</v>
      </c>
      <c r="C52" s="7" t="str">
        <f>TRIM(СжПробелы1(RIGHT(weight!J52,LEN(weight!J52)-LEN(weight!I52)-1)))</f>
        <v>Контроль состояния окружающей обстановки</v>
      </c>
      <c r="D52" s="4">
        <f>weight!D52</f>
        <v>8</v>
      </c>
    </row>
    <row r="53" spans="1:4" ht="15.75" x14ac:dyDescent="0.25">
      <c r="A53" s="4">
        <f>weight!H53</f>
        <v>5</v>
      </c>
      <c r="B53" s="4" t="str">
        <f>weight!I53</f>
        <v>1.1.3.4.4</v>
      </c>
      <c r="C53" s="7" t="str">
        <f>TRIM(СжПробелы1(RIGHT(weight!J53,LEN(weight!J53)-LEN(weight!I53)-1)))</f>
        <v>Выработка навыков слаженных действий и взаимовыручки</v>
      </c>
      <c r="D53" s="4">
        <f>weight!D53</f>
        <v>10</v>
      </c>
    </row>
    <row r="54" spans="1:4" ht="15.75" x14ac:dyDescent="0.25">
      <c r="A54" s="4">
        <f>weight!H54</f>
        <v>5</v>
      </c>
      <c r="B54" s="4" t="str">
        <f>weight!I54</f>
        <v>1.1.3.4.5</v>
      </c>
      <c r="C54" s="7" t="str">
        <f>TRIM(СжПробелы1(RIGHT(weight!J54,LEN(weight!J54)-LEN(weight!I54)-1)))</f>
        <v>Обеспечение безопасных условий работы</v>
      </c>
      <c r="D54" s="4">
        <f>weight!D54</f>
        <v>7</v>
      </c>
    </row>
    <row r="55" spans="1:4" ht="15.75" x14ac:dyDescent="0.25">
      <c r="A55" s="4">
        <f>weight!H55</f>
        <v>4</v>
      </c>
      <c r="B55" s="4" t="str">
        <f>weight!I55</f>
        <v>1.1.3.5</v>
      </c>
      <c r="C55" s="7" t="str">
        <f>TRIM(СжПробелы1(RIGHT(weight!J55,LEN(weight!J55)-LEN(weight!I55)-1)))</f>
        <v>Боевое развертывание и установка на водоисточник</v>
      </c>
      <c r="D55" s="4">
        <f>weight!D55</f>
        <v>9</v>
      </c>
    </row>
    <row r="56" spans="1:4" ht="31.5" x14ac:dyDescent="0.25">
      <c r="A56" s="4">
        <f>weight!H56</f>
        <v>5</v>
      </c>
      <c r="B56" s="4" t="str">
        <f>weight!I56</f>
        <v>1.1.3.5.1</v>
      </c>
      <c r="C56" s="7" t="str">
        <f>TRIM(СжПробелы1(RIGHT(weight!J56,LEN(weight!J56)-LEN(weight!I56)-1)))</f>
        <v>Выработка правильных и эффективных приемов и способов выполнения действий</v>
      </c>
      <c r="D56" s="4">
        <f>weight!D56</f>
        <v>9</v>
      </c>
    </row>
    <row r="57" spans="1:4" ht="15.75" x14ac:dyDescent="0.25">
      <c r="A57" s="4">
        <f>weight!H57</f>
        <v>5</v>
      </c>
      <c r="B57" s="4" t="str">
        <f>weight!I57</f>
        <v>1.1.3.5.2</v>
      </c>
      <c r="C57" s="7" t="str">
        <f>TRIM(СжПробелы1(RIGHT(weight!J57,LEN(weight!J57)-LEN(weight!I57)-1)))</f>
        <v>Выработка навыков слаженных действий и взаимовыручки</v>
      </c>
      <c r="D57" s="4">
        <f>weight!D57</f>
        <v>10</v>
      </c>
    </row>
    <row r="58" spans="1:4" ht="15.75" x14ac:dyDescent="0.25">
      <c r="A58" s="4">
        <f>weight!H58</f>
        <v>5</v>
      </c>
      <c r="B58" s="4" t="str">
        <f>weight!I58</f>
        <v>1.1.3.5.3</v>
      </c>
      <c r="C58" s="7" t="str">
        <f>TRIM(СжПробелы1(RIGHT(weight!J58,LEN(weight!J58)-LEN(weight!I58)-1)))</f>
        <v>Обеспечение безопасных условий работы</v>
      </c>
      <c r="D58" s="4">
        <f>weight!D58</f>
        <v>7</v>
      </c>
    </row>
    <row r="59" spans="1:4" ht="15.75" x14ac:dyDescent="0.25">
      <c r="A59" s="4">
        <f>weight!H59</f>
        <v>4</v>
      </c>
      <c r="B59" s="4" t="str">
        <f>weight!I59</f>
        <v>1.1.3.6</v>
      </c>
      <c r="C59" s="7" t="str">
        <f>TRIM(СжПробелы1(RIGHT(weight!J59,LEN(weight!J59)-LEN(weight!I59)-1)))</f>
        <v>Выполнение аварийных работ</v>
      </c>
      <c r="D59" s="4">
        <f>weight!D59</f>
        <v>7</v>
      </c>
    </row>
    <row r="60" spans="1:4" ht="31.5" x14ac:dyDescent="0.25">
      <c r="A60" s="4">
        <f>weight!H60</f>
        <v>5</v>
      </c>
      <c r="B60" s="4" t="str">
        <f>weight!I60</f>
        <v>1.1.3.6.1</v>
      </c>
      <c r="C60" s="7" t="str">
        <f>TRIM(СжПробелы1(RIGHT(weight!J60,LEN(weight!J60)-LEN(weight!I60)-1)))</f>
        <v>Выработка правильных и эффективных приемов и способов выполнения действий</v>
      </c>
      <c r="D60" s="4">
        <f>weight!D60</f>
        <v>9</v>
      </c>
    </row>
    <row r="61" spans="1:4" ht="15.75" x14ac:dyDescent="0.25">
      <c r="A61" s="4">
        <f>weight!H61</f>
        <v>5</v>
      </c>
      <c r="B61" s="4" t="str">
        <f>weight!I61</f>
        <v>1.1.3.6.2</v>
      </c>
      <c r="C61" s="7" t="str">
        <f>TRIM(СжПробелы1(RIGHT(weight!J61,LEN(weight!J61)-LEN(weight!I61)-1)))</f>
        <v>Выработка навыков слаженных действий и взаимовыручки</v>
      </c>
      <c r="D61" s="4">
        <f>weight!D61</f>
        <v>10</v>
      </c>
    </row>
    <row r="62" spans="1:4" ht="15.75" x14ac:dyDescent="0.25">
      <c r="A62" s="4">
        <f>weight!H62</f>
        <v>5</v>
      </c>
      <c r="B62" s="4" t="str">
        <f>weight!I62</f>
        <v>1.1.3.6.3</v>
      </c>
      <c r="C62" s="7" t="str">
        <f>TRIM(СжПробелы1(RIGHT(weight!J62,LEN(weight!J62)-LEN(weight!I62)-1)))</f>
        <v>Обеспечение безопасных условий работы</v>
      </c>
      <c r="D62" s="4">
        <f>weight!D62</f>
        <v>7</v>
      </c>
    </row>
    <row r="63" spans="1:4" ht="15.75" x14ac:dyDescent="0.25">
      <c r="A63" s="4">
        <f>weight!H63</f>
        <v>4</v>
      </c>
      <c r="B63" s="4" t="str">
        <f>weight!I63</f>
        <v>1.1.3.7</v>
      </c>
      <c r="C63" s="7" t="str">
        <f>TRIM(СжПробелы1(RIGHT(weight!J63,LEN(weight!J63)-LEN(weight!I63)-1)))</f>
        <v>Работа со средствами связи</v>
      </c>
      <c r="D63" s="4">
        <f>weight!D63</f>
        <v>6</v>
      </c>
    </row>
    <row r="64" spans="1:4" ht="31.5" x14ac:dyDescent="0.25">
      <c r="A64" s="4">
        <f>weight!H64</f>
        <v>5</v>
      </c>
      <c r="B64" s="4" t="str">
        <f>weight!I64</f>
        <v>1.1.3.7.1</v>
      </c>
      <c r="C64" s="7" t="str">
        <f>TRIM(СжПробелы1(RIGHT(weight!J64,LEN(weight!J64)-LEN(weight!I64)-1)))</f>
        <v>Выработка правильных и эффективных приемов и способов выполнения действий</v>
      </c>
      <c r="D64" s="4">
        <f>weight!D64</f>
        <v>7</v>
      </c>
    </row>
    <row r="65" spans="1:4" ht="15.75" x14ac:dyDescent="0.25">
      <c r="A65" s="4">
        <f>weight!H65</f>
        <v>5</v>
      </c>
      <c r="B65" s="4" t="str">
        <f>weight!I65</f>
        <v>1.1.3.7.2</v>
      </c>
      <c r="C65" s="7" t="str">
        <f>TRIM(СжПробелы1(RIGHT(weight!J65,LEN(weight!J65)-LEN(weight!I65)-1)))</f>
        <v>Обеспечение безопасных условий работы</v>
      </c>
      <c r="D65" s="4">
        <f>weight!D65</f>
        <v>5</v>
      </c>
    </row>
    <row r="66" spans="1:4" ht="31.5" x14ac:dyDescent="0.25">
      <c r="A66" s="4">
        <f>weight!H66</f>
        <v>4</v>
      </c>
      <c r="B66" s="4" t="str">
        <f>weight!I66</f>
        <v>1.1.3.8</v>
      </c>
      <c r="C66" s="7" t="str">
        <f>TRIM(СжПробелы1(RIGHT(weight!J66,LEN(weight!J66)-LEN(weight!I66)-1)))</f>
        <v>Работа с автомобильными и механизированными средствами</v>
      </c>
      <c r="D66" s="4">
        <f>weight!D66</f>
        <v>7</v>
      </c>
    </row>
    <row r="67" spans="1:4" ht="15.75" x14ac:dyDescent="0.25">
      <c r="A67" s="4">
        <f>weight!H67</f>
        <v>4</v>
      </c>
      <c r="B67" s="4" t="str">
        <f>weight!I67</f>
        <v>1.1.3.9</v>
      </c>
      <c r="C67" s="7" t="str">
        <f>TRIM(СжПробелы1(RIGHT(weight!J67,LEN(weight!J67)-LEN(weight!I67)-1)))</f>
        <v>Работа с информационными средствами</v>
      </c>
      <c r="D67" s="4">
        <f>weight!D67</f>
        <v>6</v>
      </c>
    </row>
    <row r="68" spans="1:4" ht="31.5" x14ac:dyDescent="0.25">
      <c r="A68" s="4">
        <f>weight!H68</f>
        <v>5</v>
      </c>
      <c r="B68" s="4" t="str">
        <f>weight!I68</f>
        <v>1.1.3.9.1</v>
      </c>
      <c r="C68" s="7" t="str">
        <f>TRIM(СжПробелы1(RIGHT(weight!J68,LEN(weight!J68)-LEN(weight!I68)-1)))</f>
        <v>Выработка правильных и эффективных приемов и способов выполнения действий</v>
      </c>
      <c r="D68" s="4">
        <f>weight!D68</f>
        <v>9</v>
      </c>
    </row>
    <row r="69" spans="1:4" ht="15.75" x14ac:dyDescent="0.25">
      <c r="A69" s="4">
        <f>weight!H69</f>
        <v>5</v>
      </c>
      <c r="B69" s="4" t="str">
        <f>weight!I69</f>
        <v>1.1.3.9.2</v>
      </c>
      <c r="C69" s="7" t="str">
        <f>TRIM(СжПробелы1(RIGHT(weight!J69,LEN(weight!J69)-LEN(weight!I69)-1)))</f>
        <v>Выработка навыков слаженных действий и взаимовыручки</v>
      </c>
      <c r="D69" s="4">
        <f>weight!D69</f>
        <v>9</v>
      </c>
    </row>
    <row r="70" spans="1:4" ht="15.75" x14ac:dyDescent="0.25">
      <c r="A70" s="4">
        <f>weight!H70</f>
        <v>5</v>
      </c>
      <c r="B70" s="4" t="str">
        <f>weight!I70</f>
        <v>1.1.3.9.3</v>
      </c>
      <c r="C70" s="7" t="str">
        <f>TRIM(СжПробелы1(RIGHT(weight!J70,LEN(weight!J70)-LEN(weight!I70)-1)))</f>
        <v>Обеспечение безопасных условий работы</v>
      </c>
      <c r="D70" s="4">
        <f>weight!D70</f>
        <v>5</v>
      </c>
    </row>
    <row r="71" spans="1:4" ht="31.5" x14ac:dyDescent="0.25">
      <c r="A71" s="4">
        <f>weight!H71</f>
        <v>4</v>
      </c>
      <c r="B71" s="4" t="str">
        <f>weight!I71</f>
        <v>1.1.3.10</v>
      </c>
      <c r="C71" s="7" t="str">
        <f>TRIM(СжПробелы1(RIGHT(weight!J71,LEN(weight!J71)-LEN(weight!I71)-1)))</f>
        <v>Контроль и обеспечение условий для соблюдения нормативных требований по охране труда</v>
      </c>
      <c r="D71" s="4">
        <f>weight!D71</f>
        <v>7</v>
      </c>
    </row>
    <row r="72" spans="1:4" ht="15.75" x14ac:dyDescent="0.25">
      <c r="A72" s="4">
        <f>weight!H72</f>
        <v>4</v>
      </c>
      <c r="B72" s="4" t="str">
        <f>weight!I72</f>
        <v>1.1.3.11</v>
      </c>
      <c r="C72" s="7" t="str">
        <f>TRIM(СжПробелы1(RIGHT(weight!J72,LEN(weight!J72)-LEN(weight!I72)-1)))</f>
        <v>Условия для быстрого выезда по сигналу Тревога</v>
      </c>
      <c r="D72" s="4">
        <f>weight!D72</f>
        <v>7</v>
      </c>
    </row>
    <row r="73" spans="1:4" ht="31.5" x14ac:dyDescent="0.25">
      <c r="A73" s="4">
        <f>weight!H73</f>
        <v>4</v>
      </c>
      <c r="B73" s="4" t="str">
        <f>weight!I73</f>
        <v>1.1.3.12</v>
      </c>
      <c r="C73" s="7" t="str">
        <f>TRIM(СжПробелы1(RIGHT(weight!J73,LEN(weight!J73)-LEN(weight!I73)-1)))</f>
        <v>Обеспечение охраны от проникновения посторонних или воздействия внешних негативных факторов</v>
      </c>
      <c r="D73" s="4">
        <f>weight!D73</f>
        <v>5</v>
      </c>
    </row>
    <row r="74" spans="1:4" ht="31.5" x14ac:dyDescent="0.25">
      <c r="A74" s="4">
        <f>weight!H74</f>
        <v>3</v>
      </c>
      <c r="B74" s="4" t="str">
        <f>weight!I74</f>
        <v>1.1.4</v>
      </c>
      <c r="C74" s="7" t="str">
        <f>TRIM(СжПробелы1(RIGHT(weight!J74,LEN(weight!J74)-LEN(weight!I74)-1)))</f>
        <v>Объекты для общефизической подготовки на территории подразделения</v>
      </c>
      <c r="D74" s="4">
        <f>weight!D74</f>
        <v>8</v>
      </c>
    </row>
    <row r="75" spans="1:4" ht="15.75" x14ac:dyDescent="0.25">
      <c r="A75" s="4">
        <f>weight!H75</f>
        <v>4</v>
      </c>
      <c r="B75" s="4" t="str">
        <f>weight!I75</f>
        <v>1.1.4.1</v>
      </c>
      <c r="C75" s="7" t="str">
        <f>TRIM(СжПробелы1(RIGHT(weight!J75,LEN(weight!J75)-LEN(weight!I75)-1)))</f>
        <v>Повышение физической выносливости</v>
      </c>
      <c r="D75" s="4">
        <f>weight!D75</f>
        <v>9</v>
      </c>
    </row>
    <row r="76" spans="1:4" ht="15.75" x14ac:dyDescent="0.25">
      <c r="A76" s="4">
        <f>weight!H76</f>
        <v>4</v>
      </c>
      <c r="B76" s="4" t="str">
        <f>weight!I76</f>
        <v>1.1.4.2</v>
      </c>
      <c r="C76" s="7" t="str">
        <f>TRIM(СжПробелы1(RIGHT(weight!J76,LEN(weight!J76)-LEN(weight!I76)-1)))</f>
        <v>Повышение быстроты движений</v>
      </c>
      <c r="D76" s="4">
        <f>weight!D76</f>
        <v>8</v>
      </c>
    </row>
    <row r="77" spans="1:4" ht="15.75" x14ac:dyDescent="0.25">
      <c r="A77" s="4">
        <f>weight!H77</f>
        <v>4</v>
      </c>
      <c r="B77" s="4" t="str">
        <f>weight!I77</f>
        <v>1.1.4.3</v>
      </c>
      <c r="C77" s="7" t="str">
        <f>TRIM(СжПробелы1(RIGHT(weight!J77,LEN(weight!J77)-LEN(weight!I77)-1)))</f>
        <v>Повышение скорости реакции</v>
      </c>
      <c r="D77" s="4">
        <f>weight!D77</f>
        <v>9</v>
      </c>
    </row>
    <row r="78" spans="1:4" ht="15.75" x14ac:dyDescent="0.25">
      <c r="A78" s="4">
        <f>weight!H78</f>
        <v>4</v>
      </c>
      <c r="B78" s="4" t="str">
        <f>weight!I78</f>
        <v>1.1.4.4</v>
      </c>
      <c r="C78" s="7" t="str">
        <f>TRIM(СжПробелы1(RIGHT(weight!J78,LEN(weight!J78)-LEN(weight!I78)-1)))</f>
        <v>Повышение физической силы</v>
      </c>
      <c r="D78" s="4">
        <f>weight!D78</f>
        <v>8</v>
      </c>
    </row>
    <row r="79" spans="1:4" ht="31.5" x14ac:dyDescent="0.25">
      <c r="A79" s="4">
        <f>weight!H79</f>
        <v>4</v>
      </c>
      <c r="B79" s="4" t="str">
        <f>weight!I79</f>
        <v>1.1.4.5</v>
      </c>
      <c r="C79" s="7" t="str">
        <f>TRIM(СжПробелы1(RIGHT(weight!J79,LEN(weight!J79)-LEN(weight!I79)-1)))</f>
        <v>Контроль и обеспечение условий для соблюдения нормативных требований по охране труда</v>
      </c>
      <c r="D79" s="4">
        <f>weight!D79</f>
        <v>7</v>
      </c>
    </row>
    <row r="80" spans="1:4" ht="15.75" x14ac:dyDescent="0.25">
      <c r="A80" s="4">
        <f>weight!H80</f>
        <v>4</v>
      </c>
      <c r="B80" s="4" t="str">
        <f>weight!I80</f>
        <v>1.1.4.6</v>
      </c>
      <c r="C80" s="7" t="str">
        <f>TRIM(СжПробелы1(RIGHT(weight!J80,LEN(weight!J80)-LEN(weight!I80)-1)))</f>
        <v>Условия для быстрого выезда по сигналу Тревога</v>
      </c>
      <c r="D80" s="4">
        <f>weight!D80</f>
        <v>7</v>
      </c>
    </row>
    <row r="81" spans="1:4" ht="31.5" x14ac:dyDescent="0.25">
      <c r="A81" s="4">
        <f>weight!H81</f>
        <v>4</v>
      </c>
      <c r="B81" s="4" t="str">
        <f>weight!I81</f>
        <v>1.1.4.7</v>
      </c>
      <c r="C81" s="7" t="str">
        <f>TRIM(СжПробелы1(RIGHT(weight!J81,LEN(weight!J81)-LEN(weight!I81)-1)))</f>
        <v>Обеспечение охраны от проникновения посторонних или воздействия внешних негативных факторов</v>
      </c>
      <c r="D81" s="4">
        <f>weight!D81</f>
        <v>5</v>
      </c>
    </row>
    <row r="82" spans="1:4" ht="15.75" x14ac:dyDescent="0.25">
      <c r="A82" s="4">
        <f>weight!H82</f>
        <v>3</v>
      </c>
      <c r="B82" s="4" t="str">
        <f>weight!I82</f>
        <v>1.1.5</v>
      </c>
      <c r="C82" s="7" t="str">
        <f>TRIM(СжПробелы1(RIGHT(weight!J82,LEN(weight!J82)-LEN(weight!I82)-1)))</f>
        <v>Пожарно-тактические занятия учения с выездом на объект</v>
      </c>
      <c r="D82" s="4">
        <f>weight!D82</f>
        <v>10</v>
      </c>
    </row>
    <row r="83" spans="1:4" ht="15.75" x14ac:dyDescent="0.25">
      <c r="A83" s="4">
        <f>weight!H83</f>
        <v>4</v>
      </c>
      <c r="B83" s="4" t="str">
        <f>weight!I83</f>
        <v>1.1.5.1</v>
      </c>
      <c r="C83" s="7" t="str">
        <f>TRIM(СжПробелы1(RIGHT(weight!J83,LEN(weight!J83)-LEN(weight!I83)-1)))</f>
        <v>Ознакомление с порядком проезда на территорию объекта</v>
      </c>
      <c r="D83" s="4">
        <f>weight!D83</f>
        <v>7</v>
      </c>
    </row>
    <row r="84" spans="1:4" ht="15.75" x14ac:dyDescent="0.25">
      <c r="A84" s="4">
        <f>weight!H84</f>
        <v>4</v>
      </c>
      <c r="B84" s="4" t="str">
        <f>weight!I84</f>
        <v>1.1.5.2</v>
      </c>
      <c r="C84" s="7" t="str">
        <f>TRIM(СжПробелы1(RIGHT(weight!J84,LEN(weight!J84)-LEN(weight!I84)-1)))</f>
        <v>Изучение порядка взаимодействия с персоналом объекта</v>
      </c>
      <c r="D84" s="4">
        <f>weight!D84</f>
        <v>7</v>
      </c>
    </row>
    <row r="85" spans="1:4" ht="31.5" x14ac:dyDescent="0.25">
      <c r="A85" s="4">
        <f>weight!H85</f>
        <v>4</v>
      </c>
      <c r="B85" s="4" t="str">
        <f>weight!I85</f>
        <v>1.1.5.3</v>
      </c>
      <c r="C85" s="7" t="str">
        <f>TRIM(СжПробелы1(RIGHT(weight!J85,LEN(weight!J85)-LEN(weight!I85)-1)))</f>
        <v>Изучение расположения пожароопасных зданий и сооружений на территории объекта</v>
      </c>
      <c r="D85" s="4">
        <f>weight!D85</f>
        <v>10</v>
      </c>
    </row>
    <row r="86" spans="1:4" ht="47.25" x14ac:dyDescent="0.25">
      <c r="A86" s="4">
        <f>weight!H86</f>
        <v>4</v>
      </c>
      <c r="B86" s="4" t="str">
        <f>weight!I86</f>
        <v>1.1.5.4</v>
      </c>
      <c r="C86" s="7" t="str">
        <f>TRIM(СжПробелы1(RIGHT(weight!J86,LEN(weight!J86)-LEN(weight!I86)-1)))</f>
        <v>Изучение расположения водоисточников и мест хранения огнетушащих веществ на территории объекта и на прилегающей территории</v>
      </c>
      <c r="D86" s="4">
        <f>weight!D86</f>
        <v>10</v>
      </c>
    </row>
    <row r="87" spans="1:4" ht="31.5" x14ac:dyDescent="0.25">
      <c r="A87" s="4">
        <f>weight!H87</f>
        <v>4</v>
      </c>
      <c r="B87" s="4" t="str">
        <f>weight!I87</f>
        <v>1.1.5.5</v>
      </c>
      <c r="C87" s="7" t="str">
        <f>TRIM(СжПробелы1(RIGHT(weight!J87,LEN(weight!J87)-LEN(weight!I87)-1)))</f>
        <v>Изучение возможных источников опасности ядовитые химические вещества радиоактивные материалы и т.п.</v>
      </c>
      <c r="D87" s="4">
        <f>weight!D87</f>
        <v>8</v>
      </c>
    </row>
    <row r="88" spans="1:4" ht="15.75" x14ac:dyDescent="0.25">
      <c r="A88" s="4">
        <f>weight!H88</f>
        <v>4</v>
      </c>
      <c r="B88" s="4" t="str">
        <f>weight!I88</f>
        <v>1.1.5.6</v>
      </c>
      <c r="C88" s="7" t="str">
        <f>TRIM(СжПробелы1(RIGHT(weight!J88,LEN(weight!J88)-LEN(weight!I88)-1)))</f>
        <v>Изучение транспортной инфраструктуры объекта</v>
      </c>
      <c r="D88" s="4">
        <f>weight!D88</f>
        <v>9</v>
      </c>
    </row>
    <row r="89" spans="1:4" ht="31.5" x14ac:dyDescent="0.25">
      <c r="A89" s="4">
        <f>weight!H89</f>
        <v>4</v>
      </c>
      <c r="B89" s="4" t="str">
        <f>weight!I89</f>
        <v>1.1.5.7</v>
      </c>
      <c r="C89" s="7" t="str">
        <f>TRIM(СжПробелы1(RIGHT(weight!J89,LEN(weight!J89)-LEN(weight!I89)-1)))</f>
        <v>Контроль и обеспечение условий для соблюдения нормативных требований по охране труда</v>
      </c>
      <c r="D89" s="4">
        <f>weight!D89</f>
        <v>7</v>
      </c>
    </row>
    <row r="90" spans="1:4" ht="15.75" x14ac:dyDescent="0.25">
      <c r="A90" s="4">
        <f>weight!H90</f>
        <v>4</v>
      </c>
      <c r="B90" s="4" t="str">
        <f>weight!I90</f>
        <v>1.1.5.8</v>
      </c>
      <c r="C90" s="7" t="str">
        <f>TRIM(СжПробелы1(RIGHT(weight!J90,LEN(weight!J90)-LEN(weight!I90)-1)))</f>
        <v>Условия для быстрого выезда по сигналу Тревога</v>
      </c>
      <c r="D90" s="4">
        <f>weight!D90</f>
        <v>7</v>
      </c>
    </row>
    <row r="91" spans="1:4" ht="31.5" x14ac:dyDescent="0.25">
      <c r="A91" s="4">
        <f>weight!H91</f>
        <v>2</v>
      </c>
      <c r="B91" s="4" t="str">
        <f>weight!I91</f>
        <v>1.2</v>
      </c>
      <c r="C91" s="7" t="str">
        <f>TRIM(СжПробелы1(RIGHT(weight!J91,LEN(weight!J91)-LEN(weight!I91)-1)))</f>
        <v>Повышение уровня ежедневного технического обслуживания техники</v>
      </c>
      <c r="D91" s="4">
        <f>weight!D91</f>
        <v>9</v>
      </c>
    </row>
    <row r="92" spans="1:4" ht="15.75" x14ac:dyDescent="0.25">
      <c r="A92" s="4">
        <f>weight!H92</f>
        <v>3</v>
      </c>
      <c r="B92" s="4" t="str">
        <f>weight!I92</f>
        <v>1.2.1</v>
      </c>
      <c r="C92" s="7" t="str">
        <f>TRIM(СжПробелы1(RIGHT(weight!J92,LEN(weight!J92)-LEN(weight!I92)-1)))</f>
        <v>Наличие оборудованного гаража для хранения техники</v>
      </c>
      <c r="D92" s="4">
        <f>weight!D92</f>
        <v>10</v>
      </c>
    </row>
    <row r="93" spans="1:4" ht="31.5" x14ac:dyDescent="0.25">
      <c r="A93" s="4">
        <f>weight!H93</f>
        <v>3</v>
      </c>
      <c r="B93" s="4" t="str">
        <f>weight!I93</f>
        <v>1.2.2</v>
      </c>
      <c r="C93" s="7" t="str">
        <f>TRIM(СжПробелы1(RIGHT(weight!J93,LEN(weight!J93)-LEN(weight!I93)-1)))</f>
        <v>Необходимые технические условия для обслуживания техники</v>
      </c>
      <c r="D93" s="4">
        <f>weight!D93</f>
        <v>10</v>
      </c>
    </row>
    <row r="94" spans="1:4" ht="15.75" x14ac:dyDescent="0.25">
      <c r="A94" s="4">
        <f>weight!H94</f>
        <v>3</v>
      </c>
      <c r="B94" s="4" t="str">
        <f>weight!I94</f>
        <v>1.2.3</v>
      </c>
      <c r="C94" s="7" t="str">
        <f>TRIM(СжПробелы1(RIGHT(weight!J94,LEN(weight!J94)-LEN(weight!I94)-1)))</f>
        <v>Формирование культуры работы с техникой</v>
      </c>
      <c r="D94" s="4">
        <f>weight!D94</f>
        <v>10</v>
      </c>
    </row>
    <row r="95" spans="1:4" ht="15.75" x14ac:dyDescent="0.25">
      <c r="A95" s="4">
        <f>weight!H95</f>
        <v>3</v>
      </c>
      <c r="B95" s="4" t="str">
        <f>weight!I95</f>
        <v>1.2.4</v>
      </c>
      <c r="C95" s="7" t="str">
        <f>TRIM(СжПробелы1(RIGHT(weight!J95,LEN(weight!J95)-LEN(weight!I95)-1)))</f>
        <v>Повышение уровня технических знаний</v>
      </c>
      <c r="D95" s="4">
        <f>weight!D95</f>
        <v>8</v>
      </c>
    </row>
    <row r="96" spans="1:4" ht="15.75" x14ac:dyDescent="0.25">
      <c r="A96" s="4">
        <f>weight!H96</f>
        <v>3</v>
      </c>
      <c r="B96" s="4" t="str">
        <f>weight!I96</f>
        <v>1.2.5</v>
      </c>
      <c r="C96" s="7" t="str">
        <f>TRIM(СжПробелы1(RIGHT(weight!J96,LEN(weight!J96)-LEN(weight!I96)-1)))</f>
        <v>Формирование навыков правильной работы с техникой</v>
      </c>
      <c r="D96" s="4">
        <f>weight!D96</f>
        <v>9</v>
      </c>
    </row>
    <row r="97" spans="1:4" ht="31.5" x14ac:dyDescent="0.25">
      <c r="A97" s="4">
        <f>weight!H97</f>
        <v>3</v>
      </c>
      <c r="B97" s="4" t="str">
        <f>weight!I97</f>
        <v>1.2.6</v>
      </c>
      <c r="C97" s="7" t="str">
        <f>TRIM(СжПробелы1(RIGHT(weight!J97,LEN(weight!J97)-LEN(weight!I97)-1)))</f>
        <v>Контроль и обеспечение условий для соблюдения нормативных требований по охране труда</v>
      </c>
      <c r="D97" s="4">
        <f>weight!D97</f>
        <v>7</v>
      </c>
    </row>
    <row r="98" spans="1:4" ht="31.5" x14ac:dyDescent="0.25">
      <c r="A98" s="4">
        <f>weight!H98</f>
        <v>3</v>
      </c>
      <c r="B98" s="4" t="str">
        <f>weight!I98</f>
        <v>1.2.7</v>
      </c>
      <c r="C98" s="7" t="str">
        <f>TRIM(СжПробелы1(RIGHT(weight!J98,LEN(weight!J98)-LEN(weight!I98)-1)))</f>
        <v>Обеспечение возможности быстрого выезда по сигналу Тревога</v>
      </c>
      <c r="D98" s="4">
        <f>weight!D98</f>
        <v>7</v>
      </c>
    </row>
    <row r="99" spans="1:4" ht="31.5" x14ac:dyDescent="0.25">
      <c r="A99" s="4">
        <f>weight!H99</f>
        <v>3</v>
      </c>
      <c r="B99" s="4" t="str">
        <f>weight!I99</f>
        <v>1.2.8</v>
      </c>
      <c r="C99" s="7" t="str">
        <f>TRIM(СжПробелы1(RIGHT(weight!J99,LEN(weight!J99)-LEN(weight!I99)-1)))</f>
        <v>Обеспечение охраны от проникновения посторонних или воздействия внешних негативных факторов</v>
      </c>
      <c r="D99" s="4">
        <f>weight!D99</f>
        <v>6</v>
      </c>
    </row>
    <row r="100" spans="1:4" ht="15.75" x14ac:dyDescent="0.25">
      <c r="A100" s="4">
        <f>weight!H100</f>
        <v>2</v>
      </c>
      <c r="B100" s="4" t="str">
        <f>weight!I100</f>
        <v>1.3</v>
      </c>
      <c r="C100" s="7" t="str">
        <f>TRIM(СжПробелы1(RIGHT(weight!J100,LEN(weight!J100)-LEN(weight!I100)-1)))</f>
        <v>Рациональная организация режима труда и отдыха</v>
      </c>
      <c r="D100" s="4">
        <f>weight!D100</f>
        <v>8</v>
      </c>
    </row>
    <row r="101" spans="1:4" ht="15.75" x14ac:dyDescent="0.25">
      <c r="A101" s="4">
        <f>weight!H101</f>
        <v>3</v>
      </c>
      <c r="B101" s="4" t="str">
        <f>weight!I101</f>
        <v>1.3.1</v>
      </c>
      <c r="C101" s="7" t="str">
        <f>TRIM(СжПробелы1(RIGHT(weight!J101,LEN(weight!J101)-LEN(weight!I101)-1)))</f>
        <v>Разработка рационального распорядка дня</v>
      </c>
      <c r="D101" s="4">
        <f>weight!D101</f>
        <v>8</v>
      </c>
    </row>
    <row r="102" spans="1:4" ht="15.75" x14ac:dyDescent="0.25">
      <c r="A102" s="4">
        <f>weight!H102</f>
        <v>3</v>
      </c>
      <c r="B102" s="4" t="str">
        <f>weight!I102</f>
        <v>1.3.2</v>
      </c>
      <c r="C102" s="7" t="str">
        <f>TRIM(СжПробелы1(RIGHT(weight!J102,LEN(weight!J102)-LEN(weight!I102)-1)))</f>
        <v>Контроль соблюдения распорядка дня</v>
      </c>
      <c r="D102" s="4">
        <f>weight!D102</f>
        <v>9</v>
      </c>
    </row>
    <row r="103" spans="1:4" ht="15.75" x14ac:dyDescent="0.25">
      <c r="A103" s="4">
        <f>weight!H103</f>
        <v>3</v>
      </c>
      <c r="B103" s="4" t="str">
        <f>weight!I103</f>
        <v>1.3.3</v>
      </c>
      <c r="C103" s="7" t="str">
        <f>TRIM(СжПробелы1(RIGHT(weight!J103,LEN(weight!J103)-LEN(weight!I103)-1)))</f>
        <v>Изучение возможности для оптимизации распорядка дня</v>
      </c>
      <c r="D103" s="4">
        <f>weight!D103</f>
        <v>7</v>
      </c>
    </row>
    <row r="104" spans="1:4" ht="31.5" x14ac:dyDescent="0.25">
      <c r="A104" s="4">
        <f>weight!H104</f>
        <v>2</v>
      </c>
      <c r="B104" s="4" t="str">
        <f>weight!I104</f>
        <v>1.4</v>
      </c>
      <c r="C104" s="7" t="str">
        <f>TRIM(СжПробелы1(RIGHT(weight!J104,LEN(weight!J104)-LEN(weight!I104)-1)))</f>
        <v>Обеспечение бытовых условий в подразделении в период дежурства</v>
      </c>
      <c r="D104" s="4">
        <f>weight!D104</f>
        <v>7</v>
      </c>
    </row>
    <row r="105" spans="1:4" ht="15.75" x14ac:dyDescent="0.25">
      <c r="A105" s="4">
        <f>weight!H105</f>
        <v>3</v>
      </c>
      <c r="B105" s="4" t="str">
        <f>weight!I105</f>
        <v>1.4.1</v>
      </c>
      <c r="C105" s="7" t="str">
        <f>TRIM(СжПробелы1(RIGHT(weight!J105,LEN(weight!J105)-LEN(weight!I105)-1)))</f>
        <v>Обеспечение нормальных условий для приема пищи</v>
      </c>
      <c r="D105" s="4">
        <f>weight!D105</f>
        <v>9</v>
      </c>
    </row>
    <row r="106" spans="1:4" ht="15.75" x14ac:dyDescent="0.25">
      <c r="A106" s="4">
        <f>weight!H106</f>
        <v>4</v>
      </c>
      <c r="B106" s="4" t="str">
        <f>weight!I106</f>
        <v>1.4.1.1</v>
      </c>
      <c r="C106" s="7" t="str">
        <f>TRIM(СжПробелы1(RIGHT(weight!J106,LEN(weight!J106)-LEN(weight!I106)-1)))</f>
        <v>Хранение и приготовление пищи в период дежурства</v>
      </c>
      <c r="D106" s="4">
        <f>weight!D106</f>
        <v>9</v>
      </c>
    </row>
    <row r="107" spans="1:4" ht="15.75" x14ac:dyDescent="0.25">
      <c r="A107" s="4">
        <f>weight!H107</f>
        <v>4</v>
      </c>
      <c r="B107" s="4" t="str">
        <f>weight!I107</f>
        <v>1.4.1.2</v>
      </c>
      <c r="C107" s="7" t="str">
        <f>TRIM(СжПробелы1(RIGHT(weight!J107,LEN(weight!J107)-LEN(weight!I107)-1)))</f>
        <v>Обеспечение мебелью и столовыми приборами</v>
      </c>
      <c r="D107" s="4">
        <f>weight!D107</f>
        <v>8</v>
      </c>
    </row>
    <row r="108" spans="1:4" ht="15.75" x14ac:dyDescent="0.25">
      <c r="A108" s="4">
        <f>weight!H108</f>
        <v>4</v>
      </c>
      <c r="B108" s="4" t="str">
        <f>weight!I108</f>
        <v>1.4.1.3</v>
      </c>
      <c r="C108" s="7" t="str">
        <f>TRIM(СжПробелы1(RIGHT(weight!J108,LEN(weight!J108)-LEN(weight!I108)-1)))</f>
        <v>Контроль и обеспечение санитарно-гигиенических условий</v>
      </c>
      <c r="D108" s="4">
        <f>weight!D108</f>
        <v>7</v>
      </c>
    </row>
    <row r="109" spans="1:4" ht="31.5" x14ac:dyDescent="0.25">
      <c r="A109" s="4">
        <f>weight!H109</f>
        <v>4</v>
      </c>
      <c r="B109" s="4" t="str">
        <f>weight!I109</f>
        <v>1.4.1.4</v>
      </c>
      <c r="C109" s="7" t="str">
        <f>TRIM(СжПробелы1(RIGHT(weight!J109,LEN(weight!J109)-LEN(weight!I109)-1)))</f>
        <v>Контроль и обеспечение условий для соблюдения нормативных требований по охране труда</v>
      </c>
      <c r="D109" s="4">
        <f>weight!D109</f>
        <v>7</v>
      </c>
    </row>
    <row r="110" spans="1:4" ht="15.75" x14ac:dyDescent="0.25">
      <c r="A110" s="4">
        <f>weight!H110</f>
        <v>4</v>
      </c>
      <c r="B110" s="4" t="str">
        <f>weight!I110</f>
        <v>1.4.1.5</v>
      </c>
      <c r="C110" s="7" t="str">
        <f>TRIM(СжПробелы1(RIGHT(weight!J110,LEN(weight!J110)-LEN(weight!I110)-1)))</f>
        <v>Возможность быстрого сбора и выезда по сигналу Тревога</v>
      </c>
      <c r="D110" s="4">
        <f>weight!D110</f>
        <v>7</v>
      </c>
    </row>
    <row r="111" spans="1:4" ht="31.5" x14ac:dyDescent="0.25">
      <c r="A111" s="4">
        <f>weight!H111</f>
        <v>4</v>
      </c>
      <c r="B111" s="4" t="str">
        <f>weight!I111</f>
        <v>1.4.1.6</v>
      </c>
      <c r="C111" s="7" t="str">
        <f>TRIM(СжПробелы1(RIGHT(weight!J111,LEN(weight!J111)-LEN(weight!I111)-1)))</f>
        <v>Обеспечение охраны от проникновения посторонних или воздействия внешних негативных факторов</v>
      </c>
      <c r="D111" s="4">
        <f>weight!D111</f>
        <v>5</v>
      </c>
    </row>
    <row r="112" spans="1:4" ht="15.75" x14ac:dyDescent="0.25">
      <c r="A112" s="4">
        <f>weight!H112</f>
        <v>3</v>
      </c>
      <c r="B112" s="4" t="str">
        <f>weight!I112</f>
        <v>1.4.2</v>
      </c>
      <c r="C112" s="7" t="str">
        <f>TRIM(СжПробелы1(RIGHT(weight!J112,LEN(weight!J112)-LEN(weight!I112)-1)))</f>
        <v>Условия для отдыха в ночное время</v>
      </c>
      <c r="D112" s="4">
        <f>weight!D112</f>
        <v>8</v>
      </c>
    </row>
    <row r="113" spans="1:4" ht="47.25" x14ac:dyDescent="0.25">
      <c r="A113" s="4">
        <f>weight!H113</f>
        <v>4</v>
      </c>
      <c r="B113" s="4" t="str">
        <f>weight!I113</f>
        <v>1.4.2.1</v>
      </c>
      <c r="C113" s="7" t="str">
        <f>TRIM(СжПробелы1(RIGHT(weight!J113,LEN(weight!J113)-LEN(weight!I113)-1)))</f>
        <v>Караульное помещение возможно совмещение с другими помещениями кроме технических и помещений для приема и приготовления пищи</v>
      </c>
      <c r="D113" s="4">
        <f>weight!D113</f>
        <v>9</v>
      </c>
    </row>
    <row r="114" spans="1:4" ht="15.75" x14ac:dyDescent="0.25">
      <c r="A114" s="4">
        <f>weight!H114</f>
        <v>4</v>
      </c>
      <c r="B114" s="4" t="str">
        <f>weight!I114</f>
        <v>1.4.2.2</v>
      </c>
      <c r="C114" s="7" t="str">
        <f>TRIM(СжПробелы1(RIGHT(weight!J114,LEN(weight!J114)-LEN(weight!I114)-1)))</f>
        <v>Контроль и обеспечение санитарно-гигиенических условий</v>
      </c>
      <c r="D114" s="4">
        <f>weight!D114</f>
        <v>7</v>
      </c>
    </row>
    <row r="115" spans="1:4" ht="15.75" x14ac:dyDescent="0.25">
      <c r="A115" s="4">
        <f>weight!H115</f>
        <v>4</v>
      </c>
      <c r="B115" s="4" t="str">
        <f>weight!I115</f>
        <v>1.4.2.3</v>
      </c>
      <c r="C115" s="7" t="str">
        <f>TRIM(СжПробелы1(RIGHT(weight!J115,LEN(weight!J115)-LEN(weight!I115)-1)))</f>
        <v>Возможность быстрого сбора и выезда по сигналу Тревога</v>
      </c>
      <c r="D115" s="4">
        <f>weight!D115</f>
        <v>8</v>
      </c>
    </row>
    <row r="116" spans="1:4" ht="31.5" x14ac:dyDescent="0.25">
      <c r="A116" s="4">
        <f>weight!H116</f>
        <v>4</v>
      </c>
      <c r="B116" s="4" t="str">
        <f>weight!I116</f>
        <v>1.4.2.4</v>
      </c>
      <c r="C116" s="7" t="str">
        <f>TRIM(СжПробелы1(RIGHT(weight!J116,LEN(weight!J116)-LEN(weight!I116)-1)))</f>
        <v>Обеспечение охраны от проникновения посторонних или воздействия внешних негативных факторов</v>
      </c>
      <c r="D116" s="4">
        <f>weight!D116</f>
        <v>5</v>
      </c>
    </row>
    <row r="117" spans="1:4" ht="31.5" x14ac:dyDescent="0.25">
      <c r="A117" s="4">
        <f>weight!H117</f>
        <v>3</v>
      </c>
      <c r="B117" s="4" t="str">
        <f>weight!I117</f>
        <v>1.4.3</v>
      </c>
      <c r="C117" s="7" t="str">
        <f>TRIM(СжПробелы1(RIGHT(weight!J117,LEN(weight!J117)-LEN(weight!I117)-1)))</f>
        <v>Условия для активного отдыха во время предусмотренное распорядком дня</v>
      </c>
      <c r="D117" s="4">
        <f>weight!D117</f>
        <v>6</v>
      </c>
    </row>
    <row r="118" spans="1:4" ht="47.25" x14ac:dyDescent="0.25">
      <c r="A118" s="4">
        <f>weight!H118</f>
        <v>4</v>
      </c>
      <c r="B118" s="4" t="str">
        <f>weight!I118</f>
        <v>1.4.3.1</v>
      </c>
      <c r="C118" s="7" t="str">
        <f>TRIM(СжПробелы1(RIGHT(weight!J118,LEN(weight!J118)-LEN(weight!I118)-1)))</f>
        <v>Специальное помещение возможно совмещение с другими помещениями кроме технических и помещений для приема и приготовления пищи</v>
      </c>
      <c r="D118" s="4">
        <f>weight!D118</f>
        <v>8</v>
      </c>
    </row>
    <row r="119" spans="1:4" ht="15.75" x14ac:dyDescent="0.25">
      <c r="A119" s="4">
        <f>weight!H119</f>
        <v>4</v>
      </c>
      <c r="B119" s="4" t="str">
        <f>weight!I119</f>
        <v>1.4.3.2</v>
      </c>
      <c r="C119" s="7" t="str">
        <f>TRIM(СжПробелы1(RIGHT(weight!J119,LEN(weight!J119)-LEN(weight!I119)-1)))</f>
        <v>Просмотр телепередач</v>
      </c>
      <c r="D119" s="4">
        <f>weight!D119</f>
        <v>5</v>
      </c>
    </row>
    <row r="120" spans="1:4" ht="15.75" x14ac:dyDescent="0.25">
      <c r="A120" s="4">
        <f>weight!H120</f>
        <v>4</v>
      </c>
      <c r="B120" s="4" t="str">
        <f>weight!I120</f>
        <v>1.4.3.3</v>
      </c>
      <c r="C120" s="7" t="str">
        <f>TRIM(СжПробелы1(RIGHT(weight!J120,LEN(weight!J120)-LEN(weight!I120)-1)))</f>
        <v>Чтение литературы</v>
      </c>
      <c r="D120" s="4">
        <f>weight!D120</f>
        <v>5</v>
      </c>
    </row>
    <row r="121" spans="1:4" ht="15.75" x14ac:dyDescent="0.25">
      <c r="A121" s="4">
        <f>weight!H121</f>
        <v>4</v>
      </c>
      <c r="B121" s="4" t="str">
        <f>weight!I121</f>
        <v>1.4.3.4</v>
      </c>
      <c r="C121" s="7" t="str">
        <f>TRIM(СжПробелы1(RIGHT(weight!J121,LEN(weight!J121)-LEN(weight!I121)-1)))</f>
        <v>Настольные игры</v>
      </c>
      <c r="D121" s="4">
        <f>weight!D121</f>
        <v>5</v>
      </c>
    </row>
    <row r="122" spans="1:4" ht="31.5" x14ac:dyDescent="0.25">
      <c r="A122" s="4">
        <f>weight!H122</f>
        <v>4</v>
      </c>
      <c r="B122" s="4" t="str">
        <f>weight!I122</f>
        <v>1.4.3.5</v>
      </c>
      <c r="C122" s="7" t="str">
        <f>TRIM(СжПробелы1(RIGHT(weight!J122,LEN(weight!J122)-LEN(weight!I122)-1)))</f>
        <v>Спортивные занятия специальное помещение или выделенное место</v>
      </c>
      <c r="D122" s="4">
        <f>weight!D122</f>
        <v>6</v>
      </c>
    </row>
    <row r="123" spans="1:4" ht="15.75" x14ac:dyDescent="0.25">
      <c r="A123" s="4">
        <f>weight!H123</f>
        <v>4</v>
      </c>
      <c r="B123" s="4" t="str">
        <f>weight!I123</f>
        <v>1.4.3.6</v>
      </c>
      <c r="C123" s="7" t="str">
        <f>TRIM(СжПробелы1(RIGHT(weight!J123,LEN(weight!J123)-LEN(weight!I123)-1)))</f>
        <v>Курение табака в специально отведенном месте</v>
      </c>
      <c r="D123" s="4">
        <f>weight!D123</f>
        <v>3</v>
      </c>
    </row>
    <row r="124" spans="1:4" ht="31.5" x14ac:dyDescent="0.25">
      <c r="A124" s="4">
        <f>weight!H124</f>
        <v>4</v>
      </c>
      <c r="B124" s="4" t="str">
        <f>weight!I124</f>
        <v>1.4.3.7</v>
      </c>
      <c r="C124" s="7" t="str">
        <f>TRIM(СжПробелы1(RIGHT(weight!J124,LEN(weight!J124)-LEN(weight!I124)-1)))</f>
        <v>Контроль и обеспечение условий для соблюдения нормативных требований по охране труда</v>
      </c>
      <c r="D124" s="4">
        <f>weight!D124</f>
        <v>7</v>
      </c>
    </row>
    <row r="125" spans="1:4" ht="15.75" x14ac:dyDescent="0.25">
      <c r="A125" s="4">
        <f>weight!H125</f>
        <v>4</v>
      </c>
      <c r="B125" s="4" t="str">
        <f>weight!I125</f>
        <v>1.4.3.8</v>
      </c>
      <c r="C125" s="7" t="str">
        <f>TRIM(СжПробелы1(RIGHT(weight!J125,LEN(weight!J125)-LEN(weight!I125)-1)))</f>
        <v>Контроль и обеспечение санитарно-гигиенических условий</v>
      </c>
      <c r="D125" s="4">
        <f>weight!D125</f>
        <v>7</v>
      </c>
    </row>
    <row r="126" spans="1:4" ht="15.75" x14ac:dyDescent="0.25">
      <c r="A126" s="4">
        <f>weight!H126</f>
        <v>4</v>
      </c>
      <c r="B126" s="4" t="str">
        <f>weight!I126</f>
        <v>1.4.3.9</v>
      </c>
      <c r="C126" s="7" t="str">
        <f>TRIM(СжПробелы1(RIGHT(weight!J126,LEN(weight!J126)-LEN(weight!I126)-1)))</f>
        <v>Возможность быстрого сбора и выезда по сигналу Тревога</v>
      </c>
      <c r="D126" s="4">
        <f>weight!D126</f>
        <v>7</v>
      </c>
    </row>
    <row r="127" spans="1:4" ht="31.5" x14ac:dyDescent="0.25">
      <c r="A127" s="4">
        <f>weight!H127</f>
        <v>4</v>
      </c>
      <c r="B127" s="4" t="str">
        <f>weight!I127</f>
        <v>1.4.3.10</v>
      </c>
      <c r="C127" s="7" t="str">
        <f>TRIM(СжПробелы1(RIGHT(weight!J127,LEN(weight!J127)-LEN(weight!I127)-1)))</f>
        <v>Обеспечение охраны от проникновения посторонних или воздействия внешних негативных факторов</v>
      </c>
      <c r="D127" s="4">
        <f>weight!D127</f>
        <v>5</v>
      </c>
    </row>
    <row r="128" spans="1:4" ht="15.75" x14ac:dyDescent="0.25">
      <c r="A128" s="4">
        <f>weight!H128</f>
        <v>2</v>
      </c>
      <c r="B128" s="4" t="str">
        <f>weight!I128</f>
        <v>1.5</v>
      </c>
      <c r="C128" s="7" t="str">
        <f>TRIM(СжПробелы1(RIGHT(weight!J128,LEN(weight!J128)-LEN(weight!I128)-1)))</f>
        <v>Медицинское обеспечение</v>
      </c>
      <c r="D128" s="4">
        <f>weight!D128</f>
        <v>6</v>
      </c>
    </row>
    <row r="129" spans="1:4" ht="15.75" x14ac:dyDescent="0.25">
      <c r="A129" s="4">
        <f>weight!H129</f>
        <v>3</v>
      </c>
      <c r="B129" s="4" t="str">
        <f>weight!I129</f>
        <v>1.5.1</v>
      </c>
      <c r="C129" s="7" t="str">
        <f>TRIM(СжПробелы1(RIGHT(weight!J129,LEN(weight!J129)-LEN(weight!I129)-1)))</f>
        <v>Осмотр перед заступлением на дежурство</v>
      </c>
      <c r="D129" s="4">
        <f>weight!D129</f>
        <v>6</v>
      </c>
    </row>
    <row r="130" spans="1:4" ht="31.5" x14ac:dyDescent="0.25">
      <c r="A130" s="4">
        <f>weight!H130</f>
        <v>3</v>
      </c>
      <c r="B130" s="4" t="str">
        <f>weight!I130</f>
        <v>1.5.2</v>
      </c>
      <c r="C130" s="7" t="str">
        <f>TRIM(СжПробелы1(RIGHT(weight!J130,LEN(weight!J130)-LEN(weight!I130)-1)))</f>
        <v>Контроль и самоконтроль состояния здоровья в течение дежурства</v>
      </c>
      <c r="D130" s="4">
        <f>weight!D130</f>
        <v>8</v>
      </c>
    </row>
    <row r="131" spans="1:4" ht="15.75" x14ac:dyDescent="0.25">
      <c r="A131" s="4">
        <f>weight!H131</f>
        <v>3</v>
      </c>
      <c r="B131" s="4" t="str">
        <f>weight!I131</f>
        <v>1.5.3</v>
      </c>
      <c r="C131" s="7" t="str">
        <f>TRIM(СжПробелы1(RIGHT(weight!J131,LEN(weight!J131)-LEN(weight!I131)-1)))</f>
        <v>Оказание доврачебной помощи в случае необходимости</v>
      </c>
      <c r="D131" s="4">
        <f>weight!D131</f>
        <v>9</v>
      </c>
    </row>
    <row r="132" spans="1:4" ht="15.75" x14ac:dyDescent="0.25">
      <c r="A132" s="4">
        <f>weight!H132</f>
        <v>2</v>
      </c>
      <c r="B132" s="4" t="str">
        <f>weight!I132</f>
        <v>1.6</v>
      </c>
      <c r="C132" s="7" t="str">
        <f>TRIM(СжПробелы1(RIGHT(weight!J132,LEN(weight!J132)-LEN(weight!I132)-1)))</f>
        <v>Снижение объема и оптимизация непрофильных работ</v>
      </c>
      <c r="D132" s="4">
        <f>weight!D132</f>
        <v>5</v>
      </c>
    </row>
    <row r="133" spans="1:4" ht="31.5" x14ac:dyDescent="0.25">
      <c r="A133" s="4">
        <f>weight!H133</f>
        <v>3</v>
      </c>
      <c r="B133" s="4" t="str">
        <f>weight!I133</f>
        <v>1.6.1</v>
      </c>
      <c r="C133" s="7" t="str">
        <f>TRIM(СжПробелы1(RIGHT(weight!J133,LEN(weight!J133)-LEN(weight!I133)-1)))</f>
        <v>Передача выполнения непрофильных задач сторонним организациям</v>
      </c>
      <c r="D133" s="4">
        <f>weight!D133</f>
        <v>6</v>
      </c>
    </row>
    <row r="134" spans="1:4" ht="47.25" x14ac:dyDescent="0.25">
      <c r="A134" s="4">
        <f>weight!H134</f>
        <v>3</v>
      </c>
      <c r="B134" s="4" t="str">
        <f>weight!I134</f>
        <v>1.6.2</v>
      </c>
      <c r="C134" s="7" t="str">
        <f>TRIM(СжПробелы1(RIGHT(weight!J134,LEN(weight!J134)-LEN(weight!I134)-1)))</f>
        <v>Передача части задач на выполнение профильным группам объединенным из нескольких подразделений ремонт техники и др.</v>
      </c>
      <c r="D134" s="4">
        <f>weight!D134</f>
        <v>7</v>
      </c>
    </row>
    <row r="135" spans="1:4" ht="31.5" x14ac:dyDescent="0.25">
      <c r="A135" s="4">
        <f>weight!H135</f>
        <v>3</v>
      </c>
      <c r="B135" s="4" t="str">
        <f>weight!I135</f>
        <v>1.6.3</v>
      </c>
      <c r="C135" s="7" t="str">
        <f>TRIM(СжПробелы1(RIGHT(weight!J135,LEN(weight!J135)-LEN(weight!I135)-1)))</f>
        <v>Удаления из перечня задач выполняемых подразделением неактуальных или невостребованных задач</v>
      </c>
      <c r="D135" s="4">
        <f>weight!D135</f>
        <v>7</v>
      </c>
    </row>
    <row r="136" spans="1:4" ht="31.5" x14ac:dyDescent="0.25">
      <c r="A136" s="16">
        <f>weight!H136</f>
        <v>1</v>
      </c>
      <c r="B136" s="16" t="str">
        <f>weight!I136</f>
        <v>2</v>
      </c>
      <c r="C136" s="17" t="str">
        <f>TRIM(СжПробелы1(RIGHT(weight!J136,LEN(weight!J136)-LEN(weight!I136)-1)))</f>
        <v>Выезд из подразделения и следование к месту вызова - Сокращение времени следования</v>
      </c>
      <c r="D136" s="16">
        <f>weight!D136</f>
        <v>8</v>
      </c>
    </row>
    <row r="137" spans="1:4" ht="31.5" x14ac:dyDescent="0.25">
      <c r="A137" s="4">
        <f>weight!H137</f>
        <v>2</v>
      </c>
      <c r="B137" s="4" t="str">
        <f>weight!I137</f>
        <v>2.1</v>
      </c>
      <c r="C137" s="7" t="str">
        <f>TRIM(СжПробелы1(RIGHT(weight!J137,LEN(weight!J137)-LEN(weight!I137)-1)))</f>
        <v>Условия для быстрого сбора личного состава и выезда техники по сигналу Тревога</v>
      </c>
      <c r="D137" s="4">
        <f>weight!D137</f>
        <v>9</v>
      </c>
    </row>
    <row r="138" spans="1:4" ht="15.75" x14ac:dyDescent="0.25">
      <c r="A138" s="4">
        <f>weight!H138</f>
        <v>3</v>
      </c>
      <c r="B138" s="4" t="str">
        <f>weight!I138</f>
        <v>2.1.1</v>
      </c>
      <c r="C138" s="7" t="str">
        <f>TRIM(СжПробелы1(RIGHT(weight!J138,LEN(weight!J138)-LEN(weight!I138)-1)))</f>
        <v>Условия хранения боевой одежды и снаряжения</v>
      </c>
      <c r="D138" s="4">
        <f>weight!D138</f>
        <v>8</v>
      </c>
    </row>
    <row r="139" spans="1:4" ht="15.75" x14ac:dyDescent="0.25">
      <c r="A139" s="4">
        <f>weight!H139</f>
        <v>4</v>
      </c>
      <c r="B139" s="4" t="str">
        <f>weight!I139</f>
        <v>2.1.1.1</v>
      </c>
      <c r="C139" s="7" t="str">
        <f>TRIM(СжПробелы1(RIGHT(weight!J139,LEN(weight!J139)-LEN(weight!I139)-1)))</f>
        <v>Специальные стеллажи</v>
      </c>
      <c r="D139" s="4">
        <f>weight!D139</f>
        <v>8</v>
      </c>
    </row>
    <row r="140" spans="1:4" ht="15.75" x14ac:dyDescent="0.25">
      <c r="A140" s="4">
        <f>weight!H140</f>
        <v>4</v>
      </c>
      <c r="B140" s="4" t="str">
        <f>weight!I140</f>
        <v>2.1.1.2</v>
      </c>
      <c r="C140" s="7" t="str">
        <f>TRIM(СжПробелы1(RIGHT(weight!J140,LEN(weight!J140)-LEN(weight!I140)-1)))</f>
        <v>Правильная укладка</v>
      </c>
      <c r="D140" s="4">
        <f>weight!D140</f>
        <v>9</v>
      </c>
    </row>
    <row r="141" spans="1:4" ht="15.75" x14ac:dyDescent="0.25">
      <c r="A141" s="4">
        <f>weight!H141</f>
        <v>4</v>
      </c>
      <c r="B141" s="4" t="str">
        <f>weight!I141</f>
        <v>2.1.1.3</v>
      </c>
      <c r="C141" s="7" t="str">
        <f>TRIM(СжПробелы1(RIGHT(weight!J141,LEN(weight!J141)-LEN(weight!I141)-1)))</f>
        <v>Обеспечение защиты от прямого попадания влаги</v>
      </c>
      <c r="D141" s="4">
        <f>weight!D141</f>
        <v>7</v>
      </c>
    </row>
    <row r="142" spans="1:4" ht="15.75" x14ac:dyDescent="0.25">
      <c r="A142" s="4">
        <f>weight!H142</f>
        <v>4</v>
      </c>
      <c r="B142" s="4" t="str">
        <f>weight!I142</f>
        <v>2.1.1.4</v>
      </c>
      <c r="C142" s="7" t="str">
        <f>TRIM(СжПробелы1(RIGHT(weight!J142,LEN(weight!J142)-LEN(weight!I142)-1)))</f>
        <v>Расположение в доступном месте от путей передвижения</v>
      </c>
      <c r="D142" s="4">
        <f>weight!D142</f>
        <v>8</v>
      </c>
    </row>
    <row r="143" spans="1:4" ht="15.75" x14ac:dyDescent="0.25">
      <c r="A143" s="4">
        <f>weight!H143</f>
        <v>3</v>
      </c>
      <c r="B143" s="4" t="str">
        <f>weight!I143</f>
        <v>2.1.2</v>
      </c>
      <c r="C143" s="7" t="str">
        <f>TRIM(СжПробелы1(RIGHT(weight!J143,LEN(weight!J143)-LEN(weight!I143)-1)))</f>
        <v>Условия для быстрой подготовки боевого расчета к выезду</v>
      </c>
      <c r="D143" s="4">
        <f>weight!D143</f>
        <v>9</v>
      </c>
    </row>
    <row r="144" spans="1:4" ht="15.75" x14ac:dyDescent="0.25">
      <c r="A144" s="4">
        <f>weight!H144</f>
        <v>4</v>
      </c>
      <c r="B144" s="4" t="str">
        <f>weight!I144</f>
        <v>2.1.2.1</v>
      </c>
      <c r="C144" s="7" t="str">
        <f>TRIM(СжПробелы1(RIGHT(weight!J144,LEN(weight!J144)-LEN(weight!I144)-1)))</f>
        <v>Ровная поверхность и отсутствие препятствий</v>
      </c>
      <c r="D144" s="4">
        <f>weight!D144</f>
        <v>9</v>
      </c>
    </row>
    <row r="145" spans="1:4" ht="15.75" x14ac:dyDescent="0.25">
      <c r="A145" s="4">
        <f>weight!H145</f>
        <v>4</v>
      </c>
      <c r="B145" s="4" t="str">
        <f>weight!I145</f>
        <v>2.1.2.2</v>
      </c>
      <c r="C145" s="7" t="str">
        <f>TRIM(СжПробелы1(RIGHT(weight!J145,LEN(weight!J145)-LEN(weight!I145)-1)))</f>
        <v>Освещение</v>
      </c>
      <c r="D145" s="4">
        <f>weight!D145</f>
        <v>9</v>
      </c>
    </row>
    <row r="146" spans="1:4" ht="15.75" x14ac:dyDescent="0.25">
      <c r="A146" s="4">
        <f>weight!H146</f>
        <v>4</v>
      </c>
      <c r="B146" s="4" t="str">
        <f>weight!I146</f>
        <v>2.1.2.3</v>
      </c>
      <c r="C146" s="7" t="str">
        <f>TRIM(СжПробелы1(RIGHT(weight!J146,LEN(weight!J146)-LEN(weight!I146)-1)))</f>
        <v>Кратчайший маршрут</v>
      </c>
      <c r="D146" s="4">
        <f>weight!D146</f>
        <v>8</v>
      </c>
    </row>
    <row r="147" spans="1:4" ht="15.75" x14ac:dyDescent="0.25">
      <c r="A147" s="4">
        <f>weight!H147</f>
        <v>3</v>
      </c>
      <c r="B147" s="4" t="str">
        <f>weight!I147</f>
        <v>2.1.3</v>
      </c>
      <c r="C147" s="7" t="str">
        <f>TRIM(СжПробелы1(RIGHT(weight!J147,LEN(weight!J147)-LEN(weight!I147)-1)))</f>
        <v>Условия для выезда пожарной техники из подразделения</v>
      </c>
      <c r="D147" s="4">
        <f>weight!D147</f>
        <v>9</v>
      </c>
    </row>
    <row r="148" spans="1:4" ht="15.75" x14ac:dyDescent="0.25">
      <c r="A148" s="4">
        <f>weight!H148</f>
        <v>4</v>
      </c>
      <c r="B148" s="4" t="str">
        <f>weight!I148</f>
        <v>2.1.3.1</v>
      </c>
      <c r="C148" s="7" t="str">
        <f>TRIM(СжПробелы1(RIGHT(weight!J148,LEN(weight!J148)-LEN(weight!I148)-1)))</f>
        <v>Ровная поверхность и отсутствие препятствий</v>
      </c>
      <c r="D148" s="4">
        <f>weight!D148</f>
        <v>8</v>
      </c>
    </row>
    <row r="149" spans="1:4" ht="15.75" x14ac:dyDescent="0.25">
      <c r="A149" s="4">
        <f>weight!H149</f>
        <v>4</v>
      </c>
      <c r="B149" s="4" t="str">
        <f>weight!I149</f>
        <v>2.1.3.2</v>
      </c>
      <c r="C149" s="7" t="str">
        <f>TRIM(СжПробелы1(RIGHT(weight!J149,LEN(weight!J149)-LEN(weight!I149)-1)))</f>
        <v>Освещение</v>
      </c>
      <c r="D149" s="4">
        <f>weight!D149</f>
        <v>9</v>
      </c>
    </row>
    <row r="150" spans="1:4" ht="15.75" x14ac:dyDescent="0.25">
      <c r="A150" s="4">
        <f>weight!H150</f>
        <v>4</v>
      </c>
      <c r="B150" s="4" t="str">
        <f>weight!I150</f>
        <v>2.1.3.3</v>
      </c>
      <c r="C150" s="7" t="str">
        <f>TRIM(СжПробелы1(RIGHT(weight!J150,LEN(weight!J150)-LEN(weight!I150)-1)))</f>
        <v>Кратчайший маршрут</v>
      </c>
      <c r="D150" s="4">
        <f>weight!D150</f>
        <v>6</v>
      </c>
    </row>
    <row r="151" spans="1:4" ht="31.5" x14ac:dyDescent="0.25">
      <c r="A151" s="4">
        <f>weight!H151</f>
        <v>4</v>
      </c>
      <c r="B151" s="4" t="str">
        <f>weight!I151</f>
        <v>2.1.3.4</v>
      </c>
      <c r="C151" s="7" t="str">
        <f>TRIM(СжПробелы1(RIGHT(weight!J151,LEN(weight!J151)-LEN(weight!I151)-1)))</f>
        <v>Обеспечение контроля состояния автомобиля во время пуска двигателя и выезда из гаража</v>
      </c>
      <c r="D151" s="4">
        <f>weight!D151</f>
        <v>9</v>
      </c>
    </row>
    <row r="152" spans="1:4" ht="31.5" x14ac:dyDescent="0.25">
      <c r="A152" s="4">
        <f>weight!H152</f>
        <v>4</v>
      </c>
      <c r="B152" s="4" t="str">
        <f>weight!I152</f>
        <v>2.1.3.5</v>
      </c>
      <c r="C152" s="7" t="str">
        <f>TRIM(СжПробелы1(RIGHT(weight!J152,LEN(weight!J152)-LEN(weight!I152)-1)))</f>
        <v>Сигнализация для предупреждения других участников дорожного движения о выезде пожарной техники</v>
      </c>
      <c r="D152" s="4">
        <f>weight!D152</f>
        <v>7</v>
      </c>
    </row>
    <row r="153" spans="1:4" ht="31.5" x14ac:dyDescent="0.25">
      <c r="A153" s="4">
        <f>weight!H153</f>
        <v>3</v>
      </c>
      <c r="B153" s="4" t="str">
        <f>weight!I153</f>
        <v>2.1.4</v>
      </c>
      <c r="C153" s="7" t="str">
        <f>TRIM(СжПробелы1(RIGHT(weight!J153,LEN(weight!J153)-LEN(weight!I153)-1)))</f>
        <v>Контроль и обеспечение условий для соблюдения нормативных требований по охране труда</v>
      </c>
      <c r="D153" s="4">
        <f>weight!D153</f>
        <v>7</v>
      </c>
    </row>
    <row r="154" spans="1:4" ht="31.5" x14ac:dyDescent="0.25">
      <c r="A154" s="4">
        <f>weight!H154</f>
        <v>2</v>
      </c>
      <c r="B154" s="4" t="str">
        <f>weight!I154</f>
        <v>2.2</v>
      </c>
      <c r="C154" s="7" t="str">
        <f>TRIM(СжПробелы1(RIGHT(weight!J154,LEN(weight!J154)-LEN(weight!I154)-1)))</f>
        <v>Выбор оптимального маршрута следования к месту вызова Минимизация времени прибытия к месту вызова</v>
      </c>
      <c r="D154" s="4">
        <f>weight!D154</f>
        <v>10</v>
      </c>
    </row>
    <row r="155" spans="1:4" ht="15.75" x14ac:dyDescent="0.25">
      <c r="A155" s="4">
        <f>weight!H155</f>
        <v>3</v>
      </c>
      <c r="B155" s="4" t="str">
        <f>weight!I155</f>
        <v>2.2.1</v>
      </c>
      <c r="C155" s="7" t="str">
        <f>TRIM(СжПробелы1(RIGHT(weight!J155,LEN(weight!J155)-LEN(weight!I155)-1)))</f>
        <v>Знание водителями района выезда</v>
      </c>
      <c r="D155" s="4">
        <f>weight!D155</f>
        <v>8</v>
      </c>
    </row>
    <row r="156" spans="1:4" ht="15.75" x14ac:dyDescent="0.25">
      <c r="A156" s="4">
        <f>weight!H156</f>
        <v>4</v>
      </c>
      <c r="B156" s="4" t="str">
        <f>weight!I156</f>
        <v>2.2.1.1</v>
      </c>
      <c r="C156" s="7" t="str">
        <f>TRIM(СжПробелы1(RIGHT(weight!J156,LEN(weight!J156)-LEN(weight!I156)-1)))</f>
        <v>Регулярная практическая и теоретическая отработка</v>
      </c>
      <c r="D156" s="4">
        <f>weight!D156</f>
        <v>8</v>
      </c>
    </row>
    <row r="157" spans="1:4" ht="15.75" x14ac:dyDescent="0.25">
      <c r="A157" s="4">
        <f>weight!H157</f>
        <v>3</v>
      </c>
      <c r="B157" s="4" t="str">
        <f>weight!I157</f>
        <v>2.2.2</v>
      </c>
      <c r="C157" s="7" t="str">
        <f>TRIM(СжПробелы1(RIGHT(weight!J157,LEN(weight!J157)-LEN(weight!I157)-1)))</f>
        <v>Квалификация водителя пожарного автомобиля</v>
      </c>
      <c r="D157" s="4">
        <f>weight!D157</f>
        <v>10</v>
      </c>
    </row>
    <row r="158" spans="1:4" ht="15.75" x14ac:dyDescent="0.25">
      <c r="A158" s="4">
        <f>weight!H158</f>
        <v>4</v>
      </c>
      <c r="B158" s="4" t="str">
        <f>weight!I158</f>
        <v>2.2.2.1</v>
      </c>
      <c r="C158" s="7" t="str">
        <f>TRIM(СжПробелы1(RIGHT(weight!J158,LEN(weight!J158)-LEN(weight!I158)-1)))</f>
        <v>Навыки вождения автомобиля</v>
      </c>
      <c r="D158" s="4">
        <f>weight!D158</f>
        <v>10</v>
      </c>
    </row>
    <row r="159" spans="1:4" ht="31.5" x14ac:dyDescent="0.25">
      <c r="A159" s="4">
        <f>weight!H159</f>
        <v>4</v>
      </c>
      <c r="B159" s="4" t="str">
        <f>weight!I159</f>
        <v>2.2.2.2</v>
      </c>
      <c r="C159" s="7" t="str">
        <f>TRIM(СжПробелы1(RIGHT(weight!J159,LEN(weight!J159)-LEN(weight!I159)-1)))</f>
        <v>Знание Правил дорожного движения в том числе и для автомобилей со спецсигналами</v>
      </c>
      <c r="D159" s="4">
        <f>weight!D159</f>
        <v>7</v>
      </c>
    </row>
    <row r="160" spans="1:4" ht="15.75" x14ac:dyDescent="0.25">
      <c r="A160" s="4">
        <f>weight!H160</f>
        <v>4</v>
      </c>
      <c r="B160" s="4" t="str">
        <f>weight!I160</f>
        <v>2.2.2.3</v>
      </c>
      <c r="C160" s="7" t="str">
        <f>TRIM(СжПробелы1(RIGHT(weight!J160,LEN(weight!J160)-LEN(weight!I160)-1)))</f>
        <v>Опыт работы водителя по специальности</v>
      </c>
      <c r="D160" s="4">
        <f>weight!D160</f>
        <v>8</v>
      </c>
    </row>
    <row r="161" spans="1:4" ht="15.75" x14ac:dyDescent="0.25">
      <c r="A161" s="4">
        <f>weight!H161</f>
        <v>3</v>
      </c>
      <c r="B161" s="4" t="str">
        <f>weight!I161</f>
        <v>2.2.3</v>
      </c>
      <c r="C161" s="7" t="str">
        <f>TRIM(СжПробелы1(RIGHT(weight!J161,LEN(weight!J161)-LEN(weight!I161)-1)))</f>
        <v>Использование геоинформационных систем</v>
      </c>
      <c r="D161" s="4">
        <f>weight!D161</f>
        <v>7</v>
      </c>
    </row>
    <row r="162" spans="1:4" ht="15.75" x14ac:dyDescent="0.25">
      <c r="A162" s="4">
        <f>weight!H162</f>
        <v>4</v>
      </c>
      <c r="B162" s="4" t="str">
        <f>weight!I162</f>
        <v>2.2.3.1</v>
      </c>
      <c r="C162" s="7" t="str">
        <f>TRIM(СжПробелы1(RIGHT(weight!J162,LEN(weight!J162)-LEN(weight!I162)-1)))</f>
        <v>Регулярная практическая и теоретическая отработка</v>
      </c>
      <c r="D162" s="4">
        <f>weight!D162</f>
        <v>7</v>
      </c>
    </row>
    <row r="163" spans="1:4" ht="31.5" x14ac:dyDescent="0.25">
      <c r="A163" s="4">
        <f>weight!H163</f>
        <v>3</v>
      </c>
      <c r="B163" s="4" t="str">
        <f>weight!I163</f>
        <v>2.2.4</v>
      </c>
      <c r="C163" s="7" t="str">
        <f>TRIM(СжПробелы1(RIGHT(weight!J163,LEN(weight!J163)-LEN(weight!I163)-1)))</f>
        <v>Получение информации о препятствиях на пути следования от диспетчера</v>
      </c>
      <c r="D163" s="4">
        <f>weight!D163</f>
        <v>6</v>
      </c>
    </row>
    <row r="164" spans="1:4" ht="31.5" x14ac:dyDescent="0.25">
      <c r="A164" s="4">
        <f>weight!H164</f>
        <v>3</v>
      </c>
      <c r="B164" s="4" t="str">
        <f>weight!I164</f>
        <v>2.2.5</v>
      </c>
      <c r="C164" s="7" t="str">
        <f>TRIM(СжПробелы1(RIGHT(weight!J164,LEN(weight!J164)-LEN(weight!I164)-1)))</f>
        <v>Использование специальных звуковых и световых сигнальных устройств пожарного автомобиля</v>
      </c>
      <c r="D164" s="4">
        <f>weight!D164</f>
        <v>6</v>
      </c>
    </row>
    <row r="165" spans="1:4" ht="15.75" x14ac:dyDescent="0.25">
      <c r="A165" s="4">
        <f>weight!H165</f>
        <v>3</v>
      </c>
      <c r="B165" s="4" t="str">
        <f>weight!I165</f>
        <v>2.2.6</v>
      </c>
      <c r="C165" s="7" t="str">
        <f>TRIM(СжПробелы1(RIGHT(weight!J165,LEN(weight!J165)-LEN(weight!I165)-1)))</f>
        <v>Учет состояния дорожного покрытия и погодных условий</v>
      </c>
      <c r="D165" s="4">
        <f>weight!D165</f>
        <v>5</v>
      </c>
    </row>
    <row r="166" spans="1:4" ht="15.75" x14ac:dyDescent="0.25">
      <c r="A166" s="4">
        <f>weight!H166</f>
        <v>2</v>
      </c>
      <c r="B166" s="4" t="str">
        <f>weight!I166</f>
        <v>2.3</v>
      </c>
      <c r="C166" s="7" t="str">
        <f>TRIM(СжПробелы1(RIGHT(weight!J166,LEN(weight!J166)-LEN(weight!I166)-1)))</f>
        <v>Разведка пожара в пути следования</v>
      </c>
      <c r="D166" s="4">
        <f>weight!D166</f>
        <v>7</v>
      </c>
    </row>
    <row r="167" spans="1:4" ht="31.5" x14ac:dyDescent="0.25">
      <c r="A167" s="4">
        <f>weight!H167</f>
        <v>3</v>
      </c>
      <c r="B167" s="4" t="str">
        <f>weight!I167</f>
        <v>2.3.1</v>
      </c>
      <c r="C167" s="7" t="str">
        <f>TRIM(СжПробелы1(RIGHT(weight!J167,LEN(weight!J167)-LEN(weight!I167)-1)))</f>
        <v>Знание объекта по опыту учебных занятий или по предыдущим пожарам</v>
      </c>
      <c r="D167" s="4">
        <f>weight!D167</f>
        <v>9</v>
      </c>
    </row>
    <row r="168" spans="1:4" ht="31.5" x14ac:dyDescent="0.25">
      <c r="A168" s="4">
        <f>weight!H168</f>
        <v>3</v>
      </c>
      <c r="B168" s="4" t="str">
        <f>weight!I168</f>
        <v>2.3.2</v>
      </c>
      <c r="C168" s="7" t="str">
        <f>TRIM(СжПробелы1(RIGHT(weight!J168,LEN(weight!J168)-LEN(weight!I168)-1)))</f>
        <v>Получение сведений об объекте по радиосвязи и из документов предварительного планирования</v>
      </c>
      <c r="D168" s="4">
        <f>weight!D168</f>
        <v>7</v>
      </c>
    </row>
    <row r="169" spans="1:4" ht="47.25" x14ac:dyDescent="0.25">
      <c r="A169" s="4">
        <f>weight!H169</f>
        <v>3</v>
      </c>
      <c r="B169" s="4" t="str">
        <f>weight!I169</f>
        <v>2.3.3</v>
      </c>
      <c r="C169" s="7" t="str">
        <f>TRIM(СжПробелы1(RIGHT(weight!J169,LEN(weight!J169)-LEN(weight!I169)-1)))</f>
        <v>Оценка обстановки по внешним признакам наблюдение в пути следования столба дыма днем или зарева от пожара в ночное время звуки взрыва и т.п.</v>
      </c>
      <c r="D169" s="4">
        <f>weight!D169</f>
        <v>8</v>
      </c>
    </row>
    <row r="170" spans="1:4" ht="31.5" x14ac:dyDescent="0.25">
      <c r="A170" s="4">
        <f>weight!H170</f>
        <v>2</v>
      </c>
      <c r="B170" s="4" t="str">
        <f>weight!I170</f>
        <v>2.4</v>
      </c>
      <c r="C170" s="7" t="str">
        <f>TRIM(СжПробелы1(RIGHT(weight!J170,LEN(weight!J170)-LEN(weight!I170)-1)))</f>
        <v>Предварительная подготовка боевого расчета в пути следования</v>
      </c>
      <c r="D170" s="4">
        <f>weight!D170</f>
        <v>6</v>
      </c>
    </row>
    <row r="171" spans="1:4" ht="31.5" x14ac:dyDescent="0.25">
      <c r="A171" s="4">
        <f>weight!H171</f>
        <v>3</v>
      </c>
      <c r="B171" s="4" t="str">
        <f>weight!I171</f>
        <v>2.4.1</v>
      </c>
      <c r="C171" s="7" t="str">
        <f>TRIM(СжПробелы1(RIGHT(weight!J171,LEN(weight!J171)-LEN(weight!I171)-1)))</f>
        <v>Совместное обсуждение тактики действий и распределение задач</v>
      </c>
      <c r="D171" s="4">
        <f>weight!D171</f>
        <v>9</v>
      </c>
    </row>
    <row r="172" spans="1:4" ht="15.75" x14ac:dyDescent="0.25">
      <c r="A172" s="4">
        <f>weight!H172</f>
        <v>3</v>
      </c>
      <c r="B172" s="4" t="str">
        <f>weight!I172</f>
        <v>2.4.2</v>
      </c>
      <c r="C172" s="7" t="str">
        <f>TRIM(СжПробелы1(RIGHT(weight!J172,LEN(weight!J172)-LEN(weight!I172)-1)))</f>
        <v>Подготовка боевой одежды и личного снаряжения</v>
      </c>
      <c r="D172" s="4">
        <f>weight!D172</f>
        <v>9</v>
      </c>
    </row>
    <row r="173" spans="1:4" ht="15.75" x14ac:dyDescent="0.25">
      <c r="A173" s="4">
        <f>weight!H173</f>
        <v>3</v>
      </c>
      <c r="B173" s="4" t="str">
        <f>weight!I173</f>
        <v>2.4.3</v>
      </c>
      <c r="C173" s="7" t="str">
        <f>TRIM(СжПробелы1(RIGHT(weight!J173,LEN(weight!J173)-LEN(weight!I173)-1)))</f>
        <v>Подготовка средств индивидуальной защиты</v>
      </c>
      <c r="D173" s="4">
        <f>weight!D173</f>
        <v>8</v>
      </c>
    </row>
    <row r="174" spans="1:4" ht="15.75" x14ac:dyDescent="0.25">
      <c r="A174" s="4">
        <f>weight!H174</f>
        <v>3</v>
      </c>
      <c r="B174" s="4" t="str">
        <f>weight!I174</f>
        <v>2.4.4</v>
      </c>
      <c r="C174" s="7" t="str">
        <f>TRIM(СжПробелы1(RIGHT(weight!J174,LEN(weight!J174)-LEN(weight!I174)-1)))</f>
        <v>Подготовка группового оборудования и инструментов</v>
      </c>
      <c r="D174" s="4">
        <f>weight!D174</f>
        <v>8</v>
      </c>
    </row>
    <row r="175" spans="1:4" ht="31.5" x14ac:dyDescent="0.25">
      <c r="A175" s="4">
        <f>weight!H175</f>
        <v>3</v>
      </c>
      <c r="B175" s="4" t="str">
        <f>weight!I175</f>
        <v>2.4.5</v>
      </c>
      <c r="C175" s="7" t="str">
        <f>TRIM(СжПробелы1(RIGHT(weight!J175,LEN(weight!J175)-LEN(weight!I175)-1)))</f>
        <v>Индивидуальная психологическая и тактическая подготовка</v>
      </c>
      <c r="D175" s="4">
        <f>weight!D175</f>
        <v>7</v>
      </c>
    </row>
    <row r="176" spans="1:4" ht="47.25" x14ac:dyDescent="0.25">
      <c r="A176" s="16">
        <f>weight!H176</f>
        <v>1</v>
      </c>
      <c r="B176" s="16" t="str">
        <f>weight!I176</f>
        <v>3</v>
      </c>
      <c r="C176" s="17" t="str">
        <f>TRIM(СжПробелы1(RIGHT(weight!J176,LEN(weight!J176)-LEN(weight!I176)-1)))</f>
        <v>Тушение пожара - Ликвидация горения спасание людей и имущества с использованием минимального количества сил и средств за минимальное время</v>
      </c>
      <c r="D176" s="16">
        <f>weight!D176</f>
        <v>10</v>
      </c>
    </row>
    <row r="177" spans="1:4" ht="31.5" x14ac:dyDescent="0.25">
      <c r="A177" s="4">
        <f>weight!H177</f>
        <v>2</v>
      </c>
      <c r="B177" s="4" t="str">
        <f>weight!I177</f>
        <v>3.1</v>
      </c>
      <c r="C177" s="7" t="str">
        <f>TRIM(СжПробелы1(RIGHT(weight!J177,LEN(weight!J177)-LEN(weight!I177)-1)))</f>
        <v>Разведка пожара получение необходимой информации для успешной и эффективной ликвидации пожара</v>
      </c>
      <c r="D177" s="4">
        <f>weight!D177</f>
        <v>8</v>
      </c>
    </row>
    <row r="178" spans="1:4" ht="15.75" x14ac:dyDescent="0.25">
      <c r="A178" s="4">
        <f>weight!H178</f>
        <v>3</v>
      </c>
      <c r="B178" s="4" t="str">
        <f>weight!I178</f>
        <v>3.1.1</v>
      </c>
      <c r="C178" s="7" t="str">
        <f>TRIM(СжПробелы1(RIGHT(weight!J178,LEN(weight!J178)-LEN(weight!I178)-1)))</f>
        <v>Получение сведений от персонала объекта</v>
      </c>
      <c r="D178" s="4">
        <f>weight!D178</f>
        <v>8</v>
      </c>
    </row>
    <row r="179" spans="1:4" ht="31.5" x14ac:dyDescent="0.25">
      <c r="A179" s="4">
        <f>weight!H179</f>
        <v>3</v>
      </c>
      <c r="B179" s="4" t="str">
        <f>weight!I179</f>
        <v>3.1.2</v>
      </c>
      <c r="C179" s="7" t="str">
        <f>TRIM(СжПробелы1(RIGHT(weight!J179,LEN(weight!J179)-LEN(weight!I179)-1)))</f>
        <v>Знание объекта по опыту учебных занятий или по предыдущим пожарам</v>
      </c>
      <c r="D179" s="4">
        <f>weight!D179</f>
        <v>9</v>
      </c>
    </row>
    <row r="180" spans="1:4" ht="15.75" x14ac:dyDescent="0.25">
      <c r="A180" s="4">
        <f>weight!H180</f>
        <v>3</v>
      </c>
      <c r="B180" s="4" t="str">
        <f>weight!I180</f>
        <v>3.1.3</v>
      </c>
      <c r="C180" s="7" t="str">
        <f>TRIM(СжПробелы1(RIGHT(weight!J180,LEN(weight!J180)-LEN(weight!I180)-1)))</f>
        <v>Изучение документов предварительного планирования</v>
      </c>
      <c r="D180" s="4">
        <f>weight!D180</f>
        <v>6</v>
      </c>
    </row>
    <row r="181" spans="1:4" ht="15.75" x14ac:dyDescent="0.25">
      <c r="A181" s="4">
        <f>weight!H181</f>
        <v>3</v>
      </c>
      <c r="B181" s="4" t="str">
        <f>weight!I181</f>
        <v>3.1.4</v>
      </c>
      <c r="C181" s="7" t="str">
        <f>TRIM(СжПробелы1(RIGHT(weight!J181,LEN(weight!J181)-LEN(weight!I181)-1)))</f>
        <v>Получение сведений от очевидцев</v>
      </c>
      <c r="D181" s="4">
        <f>weight!D181</f>
        <v>6</v>
      </c>
    </row>
    <row r="182" spans="1:4" ht="15.75" x14ac:dyDescent="0.25">
      <c r="A182" s="4">
        <f>weight!H182</f>
        <v>3</v>
      </c>
      <c r="B182" s="4" t="str">
        <f>weight!I182</f>
        <v>3.1.5</v>
      </c>
      <c r="C182" s="7" t="str">
        <f>TRIM(СжПробелы1(RIGHT(weight!J182,LEN(weight!J182)-LEN(weight!I182)-1)))</f>
        <v>Разведка по внешним признакам</v>
      </c>
      <c r="D182" s="4">
        <f>weight!D182</f>
        <v>10</v>
      </c>
    </row>
    <row r="183" spans="1:4" ht="15.75" x14ac:dyDescent="0.25">
      <c r="A183" s="4">
        <f>weight!H183</f>
        <v>3</v>
      </c>
      <c r="B183" s="4" t="str">
        <f>weight!I183</f>
        <v>3.1.6</v>
      </c>
      <c r="C183" s="7" t="str">
        <f>TRIM(СжПробелы1(RIGHT(weight!J183,LEN(weight!J183)-LEN(weight!I183)-1)))</f>
        <v>Разведка звеньями ГДЗС</v>
      </c>
      <c r="D183" s="4">
        <f>weight!D183</f>
        <v>10</v>
      </c>
    </row>
    <row r="184" spans="1:4" ht="15.75" x14ac:dyDescent="0.25">
      <c r="A184" s="4">
        <f>weight!H184</f>
        <v>3</v>
      </c>
      <c r="B184" s="4" t="str">
        <f>weight!I184</f>
        <v>3.1.7</v>
      </c>
      <c r="C184" s="7" t="str">
        <f>TRIM(СжПробелы1(RIGHT(weight!J184,LEN(weight!J184)-LEN(weight!I184)-1)))</f>
        <v>Разведка с использованием технических средств</v>
      </c>
      <c r="D184" s="4">
        <f>weight!D184</f>
        <v>9</v>
      </c>
    </row>
    <row r="185" spans="1:4" ht="31.5" x14ac:dyDescent="0.25">
      <c r="A185" s="4">
        <f>weight!H185</f>
        <v>3</v>
      </c>
      <c r="B185" s="4" t="str">
        <f>weight!I185</f>
        <v>3.1.8</v>
      </c>
      <c r="C185" s="7" t="str">
        <f>TRIM(СжПробелы1(RIGHT(weight!J185,LEN(weight!J185)-LEN(weight!I185)-1)))</f>
        <v>Контроль и обеспечение условий для соблюдения нормативных требований по охране труда</v>
      </c>
      <c r="D185" s="4">
        <f>weight!D185</f>
        <v>6</v>
      </c>
    </row>
    <row r="186" spans="1:4" ht="15.75" x14ac:dyDescent="0.25">
      <c r="A186" s="4">
        <f>weight!H186</f>
        <v>2</v>
      </c>
      <c r="B186" s="4" t="str">
        <f>weight!I186</f>
        <v>3.2</v>
      </c>
      <c r="C186" s="7" t="str">
        <f>TRIM(СжПробелы1(RIGHT(weight!J186,LEN(weight!J186)-LEN(weight!I186)-1)))</f>
        <v>Развертывание сил и средств</v>
      </c>
      <c r="D186" s="4">
        <f>weight!D186</f>
        <v>7</v>
      </c>
    </row>
    <row r="187" spans="1:4" ht="31.5" x14ac:dyDescent="0.25">
      <c r="A187" s="4">
        <f>weight!H187</f>
        <v>3</v>
      </c>
      <c r="B187" s="4" t="str">
        <f>weight!I187</f>
        <v>3.2.1</v>
      </c>
      <c r="C187" s="7" t="str">
        <f>TRIM(СжПробелы1(RIGHT(weight!J187,LEN(weight!J187)-LEN(weight!I187)-1)))</f>
        <v>Правильный выбор решающего направления на пожаре принципы</v>
      </c>
      <c r="D187" s="4">
        <f>weight!D187</f>
        <v>10</v>
      </c>
    </row>
    <row r="188" spans="1:4" ht="78.75" x14ac:dyDescent="0.25">
      <c r="A188" s="4">
        <f>weight!H188</f>
        <v>4</v>
      </c>
      <c r="B188" s="4" t="str">
        <f>weight!I188</f>
        <v>3.2.1.1</v>
      </c>
      <c r="C188" s="7" t="str">
        <f>TRIM(СжПробелы1(RIGHT(weight!J188,LEN(weight!J188)-LEN(weight!I188)-1)))</f>
        <v>Реальная угроза жизни людей в том числе участников боевых действий по тушению пожаров на месте пожара при этом их самостоятельная эвакуация невозможна силы и средства подразделений пожарной охраны направляются на спасение людей</v>
      </c>
      <c r="D188" s="4">
        <f>weight!D188</f>
        <v>10</v>
      </c>
    </row>
    <row r="189" spans="1:4" ht="78.75" x14ac:dyDescent="0.25">
      <c r="A189" s="4">
        <f>weight!H189</f>
        <v>4</v>
      </c>
      <c r="B189" s="4" t="str">
        <f>weight!I189</f>
        <v>3.2.1.2</v>
      </c>
      <c r="C189" s="7" t="str">
        <f>TRIM(СжПробелы1(RIGHT(weight!J189,LEN(weight!J189)-LEN(weight!I189)-1)))</f>
        <v>Угроза взрыва или обрушения строительных конструкций силы и средства подразделений пожарной охраны сосредоточиваются и вводятся на направлениях обеспечивающих предотвращение взрыва или обрушения строительных конструкций.</v>
      </c>
      <c r="D189" s="4">
        <f>weight!D189</f>
        <v>9</v>
      </c>
    </row>
    <row r="190" spans="1:4" ht="110.25" x14ac:dyDescent="0.25">
      <c r="A190" s="4">
        <f>weight!H190</f>
        <v>4</v>
      </c>
      <c r="B190" s="4" t="str">
        <f>weight!I190</f>
        <v>3.2.1.3</v>
      </c>
      <c r="C190" s="7" t="str">
        <f>TRIM(СжПробелы1(RIGHT(weight!J190,LEN(weight!J190)-LEN(weight!I190)-1)))</f>
        <v>Охват пожаром части здания сооружения и наличие угрозы его распространения на другие части здания сооружения или на соседние здания сооружения силы и средства подразделений пожарной охраны сосредоточиваются и вводятся на направлениях где дальнейшее распространение пожара может привести к наибольшему ущербу</v>
      </c>
      <c r="D190" s="4">
        <f>weight!D190</f>
        <v>8</v>
      </c>
    </row>
    <row r="191" spans="1:4" ht="78.75" x14ac:dyDescent="0.25">
      <c r="A191" s="4">
        <f>weight!H191</f>
        <v>4</v>
      </c>
      <c r="B191" s="4" t="str">
        <f>weight!I191</f>
        <v>3.2.1.4</v>
      </c>
      <c r="C191" s="7" t="str">
        <f>TRIM(СжПробелы1(RIGHT(weight!J191,LEN(weight!J191)-LEN(weight!I191)-1)))</f>
        <v>Охват пожаром отдельно стоящего здания сооружения и отсутствие угрозы распространения огня на соседние здания сооружения силы и средства подразделений пожарной охраны сосредоточиваются и вводятся в местах наиболее интенсивного горения.</v>
      </c>
      <c r="D191" s="4">
        <f>weight!D191</f>
        <v>8</v>
      </c>
    </row>
    <row r="192" spans="1:4" ht="94.5" x14ac:dyDescent="0.25">
      <c r="A192" s="4">
        <f>weight!H192</f>
        <v>4</v>
      </c>
      <c r="B192" s="4" t="str">
        <f>weight!I192</f>
        <v>3.2.1.5</v>
      </c>
      <c r="C192" s="7" t="str">
        <f>TRIM(СжПробелы1(RIGHT(weight!J192,LEN(weight!J192)-LEN(weight!I192)-1)))</f>
        <v>Охват пожаром здания сооружения не представляющего на момент прибытия подразделений пожарной охраны ценности и наличие угрозы перехода пожара на соседние здания сооружения силы и средства подразделений пожарной охраны сосредоточиваются и вводятся на защиту соседних не горящих зданий сооружений</v>
      </c>
      <c r="D192" s="4">
        <f>weight!D192</f>
        <v>7</v>
      </c>
    </row>
    <row r="193" spans="1:4" ht="47.25" x14ac:dyDescent="0.25">
      <c r="A193" s="4">
        <f>weight!H193</f>
        <v>3</v>
      </c>
      <c r="B193" s="4" t="str">
        <f>weight!I193</f>
        <v>3.2.2</v>
      </c>
      <c r="C193" s="7" t="str">
        <f>TRIM(СжПробелы1(RIGHT(weight!J193,LEN(weight!J193)-LEN(weight!I193)-1)))</f>
        <v>Правильный выбор схемы боевого развертывания создание наиболее эффективных и безопасных условий работы пожарных и пожарной техники</v>
      </c>
      <c r="D193" s="4">
        <f>weight!D193</f>
        <v>10</v>
      </c>
    </row>
    <row r="194" spans="1:4" ht="31.5" x14ac:dyDescent="0.25">
      <c r="A194" s="4">
        <f>weight!H194</f>
        <v>4</v>
      </c>
      <c r="B194" s="4" t="str">
        <f>weight!I194</f>
        <v>3.2.2.1</v>
      </c>
      <c r="C194" s="7" t="str">
        <f>TRIM(СжПробелы1(RIGHT(weight!J194,LEN(weight!J194)-LEN(weight!I194)-1)))</f>
        <v>Выбор на основе поставленной цели условий решающего направления</v>
      </c>
      <c r="D194" s="4">
        <f>weight!D194</f>
        <v>9</v>
      </c>
    </row>
    <row r="195" spans="1:4" ht="31.5" x14ac:dyDescent="0.25">
      <c r="A195" s="4">
        <f>weight!H195</f>
        <v>4</v>
      </c>
      <c r="B195" s="4" t="str">
        <f>weight!I195</f>
        <v>3.2.2.2</v>
      </c>
      <c r="C195" s="7" t="str">
        <f>TRIM(СжПробелы1(RIGHT(weight!J195,LEN(weight!J195)-LEN(weight!I195)-1)))</f>
        <v>На основе тактико-технических возможностей пожарной техники</v>
      </c>
      <c r="D195" s="4">
        <f>weight!D195</f>
        <v>9</v>
      </c>
    </row>
    <row r="196" spans="1:4" ht="15.75" x14ac:dyDescent="0.25">
      <c r="A196" s="4">
        <f>weight!H196</f>
        <v>5</v>
      </c>
      <c r="B196" s="4" t="str">
        <f>weight!I196</f>
        <v>3.2.2.2.1</v>
      </c>
      <c r="C196" s="7" t="str">
        <f>TRIM(СжПробелы1(RIGHT(weight!J196,LEN(weight!J196)-LEN(weight!I196)-1)))</f>
        <v>Запас огнетушащих веществ</v>
      </c>
      <c r="D196" s="4">
        <f>weight!D196</f>
        <v>9</v>
      </c>
    </row>
    <row r="197" spans="1:4" ht="15.75" x14ac:dyDescent="0.25">
      <c r="A197" s="4">
        <f>weight!H197</f>
        <v>5</v>
      </c>
      <c r="B197" s="4" t="str">
        <f>weight!I197</f>
        <v>3.2.2.2.2</v>
      </c>
      <c r="C197" s="7" t="str">
        <f>TRIM(СжПробелы1(RIGHT(weight!J197,LEN(weight!J197)-LEN(weight!I197)-1)))</f>
        <v>Мощность силовой установки</v>
      </c>
      <c r="D197" s="4">
        <f>weight!D197</f>
        <v>8</v>
      </c>
    </row>
    <row r="198" spans="1:4" ht="31.5" x14ac:dyDescent="0.25">
      <c r="A198" s="4">
        <f>weight!H198</f>
        <v>5</v>
      </c>
      <c r="B198" s="4" t="str">
        <f>weight!I198</f>
        <v>3.2.2.2.3</v>
      </c>
      <c r="C198" s="7" t="str">
        <f>TRIM(СжПробелы1(RIGHT(weight!J198,LEN(weight!J198)-LEN(weight!I198)-1)))</f>
        <v>Наличие специального оборудования и технических средств</v>
      </c>
      <c r="D198" s="4">
        <f>weight!D198</f>
        <v>9</v>
      </c>
    </row>
    <row r="199" spans="1:4" ht="15.75" x14ac:dyDescent="0.25">
      <c r="A199" s="4">
        <f>weight!H199</f>
        <v>5</v>
      </c>
      <c r="B199" s="4" t="str">
        <f>weight!I199</f>
        <v>3.2.2.2.4</v>
      </c>
      <c r="C199" s="7" t="str">
        <f>TRIM(СжПробелы1(RIGHT(weight!J199,LEN(weight!J199)-LEN(weight!I199)-1)))</f>
        <v>Проходимость</v>
      </c>
      <c r="D199" s="4">
        <f>weight!D199</f>
        <v>7</v>
      </c>
    </row>
    <row r="200" spans="1:4" ht="15.75" x14ac:dyDescent="0.25">
      <c r="A200" s="4">
        <f>weight!H200</f>
        <v>5</v>
      </c>
      <c r="B200" s="4" t="str">
        <f>weight!I200</f>
        <v>3.2.2.2.5</v>
      </c>
      <c r="C200" s="7" t="str">
        <f>TRIM(СжПробелы1(RIGHT(weight!J200,LEN(weight!J200)-LEN(weight!I200)-1)))</f>
        <v>Уровень защиты от ОФП</v>
      </c>
      <c r="D200" s="4">
        <f>weight!D200</f>
        <v>6</v>
      </c>
    </row>
    <row r="201" spans="1:4" ht="15.75" x14ac:dyDescent="0.25">
      <c r="A201" s="4">
        <f>weight!H201</f>
        <v>5</v>
      </c>
      <c r="B201" s="4" t="str">
        <f>weight!I201</f>
        <v>3.2.2.2.6</v>
      </c>
      <c r="C201" s="7" t="str">
        <f>TRIM(СжПробелы1(RIGHT(weight!J201,LEN(weight!J201)-LEN(weight!I201)-1)))</f>
        <v>Эргономичность</v>
      </c>
      <c r="D201" s="4">
        <f>weight!D201</f>
        <v>8</v>
      </c>
    </row>
    <row r="202" spans="1:4" ht="15.75" x14ac:dyDescent="0.25">
      <c r="A202" s="4">
        <f>weight!H202</f>
        <v>4</v>
      </c>
      <c r="B202" s="4" t="str">
        <f>weight!I202</f>
        <v>3.2.2.3</v>
      </c>
      <c r="C202" s="7" t="str">
        <f>TRIM(СжПробелы1(RIGHT(weight!J202,LEN(weight!J202)-LEN(weight!I202)-1)))</f>
        <v>На основе тактических возможностей боевого расчета</v>
      </c>
      <c r="D202" s="4">
        <f>weight!D202</f>
        <v>9</v>
      </c>
    </row>
    <row r="203" spans="1:4" ht="15.75" x14ac:dyDescent="0.25">
      <c r="A203" s="4">
        <f>weight!H203</f>
        <v>5</v>
      </c>
      <c r="B203" s="4" t="str">
        <f>weight!I203</f>
        <v>3.2.2.3.1</v>
      </c>
      <c r="C203" s="7" t="str">
        <f>TRIM(СжПробелы1(RIGHT(weight!J203,LEN(weight!J203)-LEN(weight!I203)-1)))</f>
        <v>Количество и квалификация личного состава</v>
      </c>
      <c r="D203" s="4">
        <f>weight!D203</f>
        <v>10</v>
      </c>
    </row>
    <row r="204" spans="1:4" ht="31.5" x14ac:dyDescent="0.25">
      <c r="A204" s="4">
        <f>weight!H204</f>
        <v>5</v>
      </c>
      <c r="B204" s="4" t="str">
        <f>weight!I204</f>
        <v>3.2.2.3.2</v>
      </c>
      <c r="C204" s="7" t="str">
        <f>TRIM(СжПробелы1(RIGHT(weight!J204,LEN(weight!J204)-LEN(weight!I204)-1)))</f>
        <v>Индивидуальное и групповое пожарно-техническое оборудование</v>
      </c>
      <c r="D204" s="4">
        <f>weight!D204</f>
        <v>9</v>
      </c>
    </row>
    <row r="205" spans="1:4" ht="15.75" x14ac:dyDescent="0.25">
      <c r="A205" s="4">
        <f>weight!H205</f>
        <v>5</v>
      </c>
      <c r="B205" s="4" t="str">
        <f>weight!I205</f>
        <v>3.2.2.3.3</v>
      </c>
      <c r="C205" s="7" t="str">
        <f>TRIM(СжПробелы1(RIGHT(weight!J205,LEN(weight!J205)-LEN(weight!I205)-1)))</f>
        <v>Боевая одежда пожарного и др. средства защиты от ОФП</v>
      </c>
      <c r="D205" s="4">
        <f>weight!D205</f>
        <v>8</v>
      </c>
    </row>
    <row r="206" spans="1:4" ht="15.75" x14ac:dyDescent="0.25">
      <c r="A206" s="4">
        <f>weight!H206</f>
        <v>5</v>
      </c>
      <c r="B206" s="4" t="str">
        <f>weight!I206</f>
        <v>3.2.2.3.4</v>
      </c>
      <c r="C206" s="7" t="str">
        <f>TRIM(СжПробелы1(RIGHT(weight!J206,LEN(weight!J206)-LEN(weight!I206)-1)))</f>
        <v>СИЗОД</v>
      </c>
      <c r="D206" s="4">
        <f>weight!D206</f>
        <v>8</v>
      </c>
    </row>
    <row r="207" spans="1:4" ht="15.75" x14ac:dyDescent="0.25">
      <c r="A207" s="4">
        <f>weight!H207</f>
        <v>4</v>
      </c>
      <c r="B207" s="4" t="str">
        <f>weight!I207</f>
        <v>3.2.2.4</v>
      </c>
      <c r="C207" s="7" t="str">
        <f>TRIM(СжПробелы1(RIGHT(weight!J207,LEN(weight!J207)-LEN(weight!I207)-1)))</f>
        <v>На основе особенностей местности</v>
      </c>
      <c r="D207" s="4">
        <f>weight!D207</f>
        <v>8</v>
      </c>
    </row>
    <row r="208" spans="1:4" ht="15.75" x14ac:dyDescent="0.25">
      <c r="A208" s="4">
        <f>weight!H208</f>
        <v>5</v>
      </c>
      <c r="B208" s="4" t="str">
        <f>weight!I208</f>
        <v>3.2.2.4.1</v>
      </c>
      <c r="C208" s="7" t="str">
        <f>TRIM(СжПробелы1(RIGHT(weight!J208,LEN(weight!J208)-LEN(weight!I208)-1)))</f>
        <v>Проходимость маршрутов передвижения людей</v>
      </c>
      <c r="D208" s="4">
        <f>weight!D208</f>
        <v>9</v>
      </c>
    </row>
    <row r="209" spans="1:4" ht="31.5" x14ac:dyDescent="0.25">
      <c r="A209" s="4">
        <f>weight!H209</f>
        <v>5</v>
      </c>
      <c r="B209" s="4" t="str">
        <f>weight!I209</f>
        <v>3.2.2.4.2</v>
      </c>
      <c r="C209" s="7" t="str">
        <f>TRIM(СжПробелы1(RIGHT(weight!J209,LEN(weight!J209)-LEN(weight!I209)-1)))</f>
        <v>Проходимость маршрутов передвижения технических средств</v>
      </c>
      <c r="D209" s="4">
        <f>weight!D209</f>
        <v>9</v>
      </c>
    </row>
    <row r="210" spans="1:4" ht="15.75" x14ac:dyDescent="0.25">
      <c r="A210" s="4">
        <f>weight!H210</f>
        <v>5</v>
      </c>
      <c r="B210" s="4" t="str">
        <f>weight!I210</f>
        <v>3.2.2.4.3</v>
      </c>
      <c r="C210" s="7" t="str">
        <f>TRIM(СжПробелы1(RIGHT(weight!J210,LEN(weight!J210)-LEN(weight!I210)-1)))</f>
        <v>Доступность путей прокладки рукавных линий</v>
      </c>
      <c r="D210" s="4">
        <f>weight!D210</f>
        <v>10</v>
      </c>
    </row>
    <row r="211" spans="1:4" ht="15.75" x14ac:dyDescent="0.25">
      <c r="A211" s="4">
        <f>weight!H211</f>
        <v>5</v>
      </c>
      <c r="B211" s="4" t="str">
        <f>weight!I211</f>
        <v>3.2.2.4.4</v>
      </c>
      <c r="C211" s="7" t="str">
        <f>TRIM(СжПробелы1(RIGHT(weight!J211,LEN(weight!J211)-LEN(weight!I211)-1)))</f>
        <v>Выбор позиций для ствольщиков</v>
      </c>
      <c r="D211" s="4">
        <f>weight!D211</f>
        <v>10</v>
      </c>
    </row>
    <row r="212" spans="1:4" ht="31.5" x14ac:dyDescent="0.25">
      <c r="A212" s="4">
        <f>weight!H212</f>
        <v>5</v>
      </c>
      <c r="B212" s="4" t="str">
        <f>weight!I212</f>
        <v>3.2.2.4.5</v>
      </c>
      <c r="C212" s="7" t="str">
        <f>TRIM(СжПробелы1(RIGHT(weight!J212,LEN(weight!J212)-LEN(weight!I212)-1)))</f>
        <v>Использование зданий сооружений техники складок местности для защиты от воздействия ОФП</v>
      </c>
      <c r="D212" s="4">
        <f>weight!D212</f>
        <v>7</v>
      </c>
    </row>
    <row r="213" spans="1:4" ht="15.75" x14ac:dyDescent="0.25">
      <c r="A213" s="4">
        <f>weight!H213</f>
        <v>5</v>
      </c>
      <c r="B213" s="4" t="str">
        <f>weight!I213</f>
        <v>3.2.2.4.6</v>
      </c>
      <c r="C213" s="7" t="str">
        <f>TRIM(СжПробелы1(RIGHT(weight!J213,LEN(weight!J213)-LEN(weight!I213)-1)))</f>
        <v>Состояние покрытия путей передвижения</v>
      </c>
      <c r="D213" s="4">
        <f>weight!D213</f>
        <v>7</v>
      </c>
    </row>
    <row r="214" spans="1:4" ht="15.75" x14ac:dyDescent="0.25">
      <c r="A214" s="4">
        <f>weight!H214</f>
        <v>4</v>
      </c>
      <c r="B214" s="4" t="str">
        <f>weight!I214</f>
        <v>3.2.2.5</v>
      </c>
      <c r="C214" s="7" t="str">
        <f>TRIM(СжПробелы1(RIGHT(weight!J214,LEN(weight!J214)-LEN(weight!I214)-1)))</f>
        <v>На основе учета погодных условий</v>
      </c>
      <c r="D214" s="4">
        <f>weight!D214</f>
        <v>7</v>
      </c>
    </row>
    <row r="215" spans="1:4" ht="15.75" x14ac:dyDescent="0.25">
      <c r="A215" s="4">
        <f>weight!H215</f>
        <v>5</v>
      </c>
      <c r="B215" s="4" t="str">
        <f>weight!I215</f>
        <v>3.2.2.5.1</v>
      </c>
      <c r="C215" s="7" t="str">
        <f>TRIM(СжПробелы1(RIGHT(weight!J215,LEN(weight!J215)-LEN(weight!I215)-1)))</f>
        <v>Температура окружающего воздуха</v>
      </c>
      <c r="D215" s="4">
        <f>weight!D215</f>
        <v>8</v>
      </c>
    </row>
    <row r="216" spans="1:4" ht="15.75" x14ac:dyDescent="0.25">
      <c r="A216" s="4">
        <f>weight!H216</f>
        <v>5</v>
      </c>
      <c r="B216" s="4" t="str">
        <f>weight!I216</f>
        <v>3.2.2.5.2</v>
      </c>
      <c r="C216" s="7" t="str">
        <f>TRIM(СжПробелы1(RIGHT(weight!J216,LEN(weight!J216)-LEN(weight!I216)-1)))</f>
        <v>Направление и сила ветра</v>
      </c>
      <c r="D216" s="4">
        <f>weight!D216</f>
        <v>9</v>
      </c>
    </row>
    <row r="217" spans="1:4" ht="15.75" x14ac:dyDescent="0.25">
      <c r="A217" s="4">
        <f>weight!H217</f>
        <v>5</v>
      </c>
      <c r="B217" s="4" t="str">
        <f>weight!I217</f>
        <v>3.2.2.5.3</v>
      </c>
      <c r="C217" s="7" t="str">
        <f>TRIM(СжПробелы1(RIGHT(weight!J217,LEN(weight!J217)-LEN(weight!I217)-1)))</f>
        <v>Атмосферные осадки</v>
      </c>
      <c r="D217" s="4">
        <f>weight!D217</f>
        <v>7</v>
      </c>
    </row>
    <row r="218" spans="1:4" ht="31.5" x14ac:dyDescent="0.25">
      <c r="A218" s="4">
        <f>weight!H218</f>
        <v>4</v>
      </c>
      <c r="B218" s="4" t="str">
        <f>weight!I218</f>
        <v>3.2.2.6</v>
      </c>
      <c r="C218" s="7" t="str">
        <f>TRIM(СжПробелы1(RIGHT(weight!J218,LEN(weight!J218)-LEN(weight!I218)-1)))</f>
        <v>На основе учета угрозы воздействия опасных факторов пожара</v>
      </c>
      <c r="D218" s="4">
        <f>weight!D218</f>
        <v>8</v>
      </c>
    </row>
    <row r="219" spans="1:4" ht="31.5" x14ac:dyDescent="0.25">
      <c r="A219" s="4">
        <f>weight!H219</f>
        <v>5</v>
      </c>
      <c r="B219" s="4" t="str">
        <f>weight!I219</f>
        <v>3.2.2.6.1</v>
      </c>
      <c r="C219" s="7" t="str">
        <f>TRIM(СжПробелы1(RIGHT(weight!J219,LEN(weight!J219)-LEN(weight!I219)-1)))</f>
        <v>Обеспечение возможности защиты от воздействия высокой температуры</v>
      </c>
      <c r="D219" s="4">
        <f>weight!D219</f>
        <v>9</v>
      </c>
    </row>
    <row r="220" spans="1:4" ht="15.75" x14ac:dyDescent="0.25">
      <c r="A220" s="4">
        <f>weight!H220</f>
        <v>5</v>
      </c>
      <c r="B220" s="4" t="str">
        <f>weight!I220</f>
        <v>3.2.2.6.2</v>
      </c>
      <c r="C220" s="7" t="str">
        <f>TRIM(СжПробелы1(RIGHT(weight!J220,LEN(weight!J220)-LEN(weight!I220)-1)))</f>
        <v>Обеспечение условий работы в условиях задымления</v>
      </c>
      <c r="D220" s="4">
        <f>weight!D220</f>
        <v>8</v>
      </c>
    </row>
    <row r="221" spans="1:4" ht="31.5" x14ac:dyDescent="0.25">
      <c r="A221" s="4">
        <f>weight!H221</f>
        <v>5</v>
      </c>
      <c r="B221" s="4" t="str">
        <f>weight!I221</f>
        <v>3.2.2.6.3</v>
      </c>
      <c r="C221" s="7" t="str">
        <f>TRIM(СжПробелы1(RIGHT(weight!J221,LEN(weight!J221)-LEN(weight!I221)-1)))</f>
        <v>Обеспечение условий работы в условиях пониженного содержания кислорода</v>
      </c>
      <c r="D221" s="4">
        <f>weight!D221</f>
        <v>7</v>
      </c>
    </row>
    <row r="222" spans="1:4" ht="15.75" x14ac:dyDescent="0.25">
      <c r="A222" s="4">
        <f>weight!H222</f>
        <v>5</v>
      </c>
      <c r="B222" s="4" t="str">
        <f>weight!I222</f>
        <v>3.2.2.6.4</v>
      </c>
      <c r="C222" s="7" t="str">
        <f>TRIM(СжПробелы1(RIGHT(weight!J222,LEN(weight!J222)-LEN(weight!I222)-1)))</f>
        <v>Обеспечение защиты от воздействия др. продуктов горения</v>
      </c>
      <c r="D222" s="4">
        <f>weight!D222</f>
        <v>6</v>
      </c>
    </row>
    <row r="223" spans="1:4" ht="31.5" x14ac:dyDescent="0.25">
      <c r="A223" s="4">
        <f>weight!H223</f>
        <v>4</v>
      </c>
      <c r="B223" s="4" t="str">
        <f>weight!I223</f>
        <v>3.2.2.7</v>
      </c>
      <c r="C223" s="7" t="str">
        <f>TRIM(СжПробелы1(RIGHT(weight!J223,LEN(weight!J223)-LEN(weight!I223)-1)))</f>
        <v>На основе учета угрозы воздействия прочих опасных факторов</v>
      </c>
      <c r="D223" s="4">
        <f>weight!D223</f>
        <v>7</v>
      </c>
    </row>
    <row r="224" spans="1:4" ht="31.5" x14ac:dyDescent="0.25">
      <c r="A224" s="4">
        <f>weight!H224</f>
        <v>5</v>
      </c>
      <c r="B224" s="4" t="str">
        <f>weight!I224</f>
        <v>3.2.2.7.1</v>
      </c>
      <c r="C224" s="7" t="str">
        <f>TRIM(СжПробелы1(RIGHT(weight!J224,LEN(weight!J224)-LEN(weight!I224)-1)))</f>
        <v>Обеспечение защиты от падения частей строительных конструкций и оборудования</v>
      </c>
      <c r="D224" s="4">
        <f>weight!D224</f>
        <v>9</v>
      </c>
    </row>
    <row r="225" spans="1:4" ht="31.5" x14ac:dyDescent="0.25">
      <c r="A225" s="4">
        <f>weight!H225</f>
        <v>5</v>
      </c>
      <c r="B225" s="4" t="str">
        <f>weight!I225</f>
        <v>3.2.2.7.2</v>
      </c>
      <c r="C225" s="7" t="str">
        <f>TRIM(СжПробелы1(RIGHT(weight!J225,LEN(weight!J225)-LEN(weight!I225)-1)))</f>
        <v>Обеспечение защиты от опасных проявлений факторов взрыва и выбросов горящих веществ</v>
      </c>
      <c r="D225" s="4">
        <f>weight!D225</f>
        <v>8</v>
      </c>
    </row>
    <row r="226" spans="1:4" ht="31.5" x14ac:dyDescent="0.25">
      <c r="A226" s="4">
        <f>weight!H226</f>
        <v>5</v>
      </c>
      <c r="B226" s="4" t="str">
        <f>weight!I226</f>
        <v>3.2.2.7.3</v>
      </c>
      <c r="C226" s="7" t="str">
        <f>TRIM(СжПробелы1(RIGHT(weight!J226,LEN(weight!J226)-LEN(weight!I226)-1)))</f>
        <v>Обеспечение защиты от опасных проявлений высокого электрического напряжения</v>
      </c>
      <c r="D226" s="4">
        <f>weight!D226</f>
        <v>7</v>
      </c>
    </row>
    <row r="227" spans="1:4" ht="15.75" x14ac:dyDescent="0.25">
      <c r="A227" s="4">
        <f>weight!H227</f>
        <v>5</v>
      </c>
      <c r="B227" s="4" t="str">
        <f>weight!I227</f>
        <v>3.2.2.7.4</v>
      </c>
      <c r="C227" s="7" t="str">
        <f>TRIM(СжПробелы1(RIGHT(weight!J227,LEN(weight!J227)-LEN(weight!I227)-1)))</f>
        <v>Обеспечение защиты от опасных проявлений АХОВ</v>
      </c>
      <c r="D227" s="4">
        <f>weight!D227</f>
        <v>7</v>
      </c>
    </row>
    <row r="228" spans="1:4" ht="47.25" x14ac:dyDescent="0.25">
      <c r="A228" s="4">
        <f>weight!H228</f>
        <v>2</v>
      </c>
      <c r="B228" s="4" t="str">
        <f>weight!I228</f>
        <v>3.3</v>
      </c>
      <c r="C228" s="7" t="str">
        <f>TRIM(СжПробелы1(RIGHT(weight!J228,LEN(weight!J228)-LEN(weight!I228)-1)))</f>
        <v>Выбор эффективных огнетушащих средств для данного пожара быстрое тушение с наименьшими затратами огнетушащих веществ и сил пожарных подразделений</v>
      </c>
      <c r="D228" s="4">
        <f>weight!D228</f>
        <v>9</v>
      </c>
    </row>
    <row r="229" spans="1:4" ht="15.75" x14ac:dyDescent="0.25">
      <c r="A229" s="4">
        <f>weight!H229</f>
        <v>3</v>
      </c>
      <c r="B229" s="4" t="str">
        <f>weight!I229</f>
        <v>3.3.1</v>
      </c>
      <c r="C229" s="7" t="str">
        <f>TRIM(СжПробелы1(RIGHT(weight!J229,LEN(weight!J229)-LEN(weight!I229)-1)))</f>
        <v>Достаточный запас огнетушащих средств</v>
      </c>
      <c r="D229" s="4">
        <f>weight!D229</f>
        <v>9</v>
      </c>
    </row>
    <row r="230" spans="1:4" ht="15.75" x14ac:dyDescent="0.25">
      <c r="A230" s="4">
        <f>weight!H230</f>
        <v>3</v>
      </c>
      <c r="B230" s="4" t="str">
        <f>weight!I230</f>
        <v>3.3.2</v>
      </c>
      <c r="C230" s="7" t="str">
        <f>TRIM(СжПробелы1(RIGHT(weight!J230,LEN(weight!J230)-LEN(weight!I230)-1)))</f>
        <v>Эффект воздействия на зону горения и ОФП</v>
      </c>
      <c r="D230" s="4">
        <f>weight!D230</f>
        <v>9</v>
      </c>
    </row>
    <row r="231" spans="1:4" ht="15.75" x14ac:dyDescent="0.25">
      <c r="A231" s="4">
        <f>weight!H231</f>
        <v>3</v>
      </c>
      <c r="B231" s="4" t="str">
        <f>weight!I231</f>
        <v>3.3.3</v>
      </c>
      <c r="C231" s="7" t="str">
        <f>TRIM(СжПробелы1(RIGHT(weight!J231,LEN(weight!J231)-LEN(weight!I231)-1)))</f>
        <v>Возможность применения с учетом погодных условий</v>
      </c>
      <c r="D231" s="4">
        <f>weight!D231</f>
        <v>7</v>
      </c>
    </row>
    <row r="232" spans="1:4" ht="15.75" x14ac:dyDescent="0.25">
      <c r="A232" s="4">
        <f>weight!H232</f>
        <v>3</v>
      </c>
      <c r="B232" s="4" t="str">
        <f>weight!I232</f>
        <v>3.3.4</v>
      </c>
      <c r="C232" s="7" t="str">
        <f>TRIM(СжПробелы1(RIGHT(weight!J232,LEN(weight!J232)-LEN(weight!I232)-1)))</f>
        <v>Возможность применения с учетом требований экологии</v>
      </c>
      <c r="D232" s="4">
        <f>weight!D232</f>
        <v>5</v>
      </c>
    </row>
    <row r="233" spans="1:4" ht="47.25" x14ac:dyDescent="0.25">
      <c r="A233" s="4">
        <f>weight!H233</f>
        <v>2</v>
      </c>
      <c r="B233" s="4" t="str">
        <f>weight!I233</f>
        <v>3.4</v>
      </c>
      <c r="C233" s="7" t="str">
        <f>TRIM(СжПробелы1(RIGHT(weight!J233,LEN(weight!J233)-LEN(weight!I233)-1)))</f>
        <v>Выбор эффективных способов подачи огнетушащих средств быстрое тушение с наименьшими затратами огнетушащих веществ и сил пожарных подразделений</v>
      </c>
      <c r="D233" s="4">
        <f>weight!D233</f>
        <v>10</v>
      </c>
    </row>
    <row r="234" spans="1:4" ht="15.75" x14ac:dyDescent="0.25">
      <c r="A234" s="4">
        <f>weight!H234</f>
        <v>3</v>
      </c>
      <c r="B234" s="4" t="str">
        <f>weight!I234</f>
        <v>3.4.1</v>
      </c>
      <c r="C234" s="7" t="str">
        <f>TRIM(СжПробелы1(RIGHT(weight!J234,LEN(weight!J234)-LEN(weight!I234)-1)))</f>
        <v>Возможность попадания в зону горения</v>
      </c>
      <c r="D234" s="4">
        <f>weight!D234</f>
        <v>10</v>
      </c>
    </row>
    <row r="235" spans="1:4" ht="15.75" x14ac:dyDescent="0.25">
      <c r="A235" s="4">
        <f>weight!H235</f>
        <v>3</v>
      </c>
      <c r="B235" s="4" t="str">
        <f>weight!I235</f>
        <v>3.4.2</v>
      </c>
      <c r="C235" s="7" t="str">
        <f>TRIM(СжПробелы1(RIGHT(weight!J235,LEN(weight!J235)-LEN(weight!I235)-1)))</f>
        <v>Воздействие на ОФП</v>
      </c>
      <c r="D235" s="4">
        <f>weight!D235</f>
        <v>9</v>
      </c>
    </row>
    <row r="236" spans="1:4" ht="15.75" x14ac:dyDescent="0.25">
      <c r="A236" s="4">
        <f>weight!H236</f>
        <v>3</v>
      </c>
      <c r="B236" s="4" t="str">
        <f>weight!I236</f>
        <v>3.4.3</v>
      </c>
      <c r="C236" s="7" t="str">
        <f>TRIM(СжПробелы1(RIGHT(weight!J236,LEN(weight!J236)-LEN(weight!I236)-1)))</f>
        <v>Безопасность ствольщиков и личного состава</v>
      </c>
      <c r="D236" s="4">
        <f>weight!D236</f>
        <v>8</v>
      </c>
    </row>
    <row r="237" spans="1:4" ht="31.5" x14ac:dyDescent="0.25">
      <c r="A237" s="4">
        <f>weight!H237</f>
        <v>3</v>
      </c>
      <c r="B237" s="4" t="str">
        <f>weight!I237</f>
        <v>3.4.4</v>
      </c>
      <c r="C237" s="7" t="str">
        <f>TRIM(СжПробелы1(RIGHT(weight!J237,LEN(weight!J237)-LEN(weight!I237)-1)))</f>
        <v>Минимизация сопутствующего вреда для имущества и оборудования в зоне пожара и смежных помещениях</v>
      </c>
      <c r="D237" s="4">
        <f>weight!D237</f>
        <v>5</v>
      </c>
    </row>
    <row r="238" spans="1:4" ht="31.5" x14ac:dyDescent="0.25">
      <c r="A238" s="4">
        <f>weight!H238</f>
        <v>2</v>
      </c>
      <c r="B238" s="4" t="str">
        <f>weight!I238</f>
        <v>3.5</v>
      </c>
      <c r="C238" s="7" t="str">
        <f>TRIM(СжПробелы1(RIGHT(weight!J238,LEN(weight!J238)-LEN(weight!I238)-1)))</f>
        <v>Индивидуальные тактически правильные действия успешные и безопасные индивидуальные действия</v>
      </c>
      <c r="D238" s="4">
        <f>weight!D238</f>
        <v>7</v>
      </c>
    </row>
    <row r="239" spans="1:4" ht="31.5" x14ac:dyDescent="0.25">
      <c r="A239" s="4">
        <f>weight!H239</f>
        <v>3</v>
      </c>
      <c r="B239" s="4" t="str">
        <f>weight!I239</f>
        <v>3.5.1</v>
      </c>
      <c r="C239" s="7" t="str">
        <f>TRIM(СжПробелы1(RIGHT(weight!J239,LEN(weight!J239)-LEN(weight!I239)-1)))</f>
        <v>Слаженность действий с другими участниками тушения пожара</v>
      </c>
      <c r="D239" s="4">
        <f>weight!D239</f>
        <v>10</v>
      </c>
    </row>
    <row r="240" spans="1:4" ht="31.5" x14ac:dyDescent="0.25">
      <c r="A240" s="4">
        <f>weight!H240</f>
        <v>3</v>
      </c>
      <c r="B240" s="4" t="str">
        <f>weight!I240</f>
        <v>3.5.2</v>
      </c>
      <c r="C240" s="7" t="str">
        <f>TRIM(СжПробелы1(RIGHT(weight!J240,LEN(weight!J240)-LEN(weight!I240)-1)))</f>
        <v>Выбор наиболее эффективных приемов и способов действий</v>
      </c>
      <c r="D240" s="4">
        <f>weight!D240</f>
        <v>9</v>
      </c>
    </row>
    <row r="241" spans="1:4" ht="36.75" customHeight="1" x14ac:dyDescent="0.25">
      <c r="A241" s="4">
        <f>weight!H241</f>
        <v>3</v>
      </c>
      <c r="B241" s="4" t="str">
        <f>weight!I241</f>
        <v>3.5.3</v>
      </c>
      <c r="C241" s="7" t="str">
        <f>TRIM(СжПробелы1(RIGHT(weight!J241,LEN(weight!J241)-LEN(weight!I241)-1)))</f>
        <v>Наблюдение за окружающей обстановкой состоянием строительных конструкций и оборудования в районе пожара</v>
      </c>
      <c r="D241" s="4">
        <f>weight!D241</f>
        <v>8</v>
      </c>
    </row>
    <row r="242" spans="1:4" ht="31.5" x14ac:dyDescent="0.25">
      <c r="A242" s="4">
        <f>weight!H242</f>
        <v>3</v>
      </c>
      <c r="B242" s="4" t="str">
        <f>weight!I242</f>
        <v>3.5.4</v>
      </c>
      <c r="C242" s="7" t="str">
        <f>TRIM(СжПробелы1(RIGHT(weight!J242,LEN(weight!J242)-LEN(weight!I242)-1)))</f>
        <v>Обмен информацией с другими участниками тушения пожара</v>
      </c>
      <c r="D242" s="4">
        <f>weight!D242</f>
        <v>8</v>
      </c>
    </row>
    <row r="243" spans="1:4" ht="15.75" x14ac:dyDescent="0.25">
      <c r="A243" s="4">
        <f>weight!H243</f>
        <v>3</v>
      </c>
      <c r="B243" s="4" t="str">
        <f>weight!I243</f>
        <v>3.5.5</v>
      </c>
      <c r="C243" s="7" t="str">
        <f>TRIM(СжПробелы1(RIGHT(weight!J243,LEN(weight!J243)-LEN(weight!I243)-1)))</f>
        <v>Соблюдение требований безопасных условий работы</v>
      </c>
      <c r="D243" s="4">
        <f>weight!D243</f>
        <v>7</v>
      </c>
    </row>
    <row r="244" spans="1:4" ht="47.25" x14ac:dyDescent="0.25">
      <c r="A244" s="4">
        <f>weight!H244</f>
        <v>2</v>
      </c>
      <c r="B244" s="4" t="str">
        <f>weight!I244</f>
        <v>3.6</v>
      </c>
      <c r="C244" s="7" t="str">
        <f>TRIM(СжПробелы1(RIGHT(weight!J244,LEN(weight!J244)-LEN(weight!I244)-1)))</f>
        <v>Обеспечение безопасных условий работы для личного состава и технических средств сохранность жизни и здоровья людей</v>
      </c>
      <c r="D244" s="4">
        <f>weight!D244</f>
        <v>7</v>
      </c>
    </row>
    <row r="245" spans="1:4" ht="31.5" x14ac:dyDescent="0.25">
      <c r="A245" s="4">
        <f>weight!H245</f>
        <v>3</v>
      </c>
      <c r="B245" s="4" t="str">
        <f>weight!I245</f>
        <v>3.6.1</v>
      </c>
      <c r="C245" s="7" t="str">
        <f>TRIM(СжПробелы1(RIGHT(weight!J245,LEN(weight!J245)-LEN(weight!I245)-1)))</f>
        <v>Самоконтроль за состоянием здоровья индивидуальных средств защиты и оборудования</v>
      </c>
      <c r="D245" s="4">
        <f>weight!D245</f>
        <v>9</v>
      </c>
    </row>
    <row r="246" spans="1:4" ht="31.5" x14ac:dyDescent="0.25">
      <c r="A246" s="4">
        <f>weight!H246</f>
        <v>3</v>
      </c>
      <c r="B246" s="4" t="str">
        <f>weight!I246</f>
        <v>3.6.2</v>
      </c>
      <c r="C246" s="7" t="str">
        <f>TRIM(СжПробелы1(RIGHT(weight!J246,LEN(weight!J246)-LEN(weight!I246)-1)))</f>
        <v>Контроль исправности и по возможности снижение угрозы воздействия ОФП на пожарную технику и оборудование</v>
      </c>
      <c r="D246" s="4">
        <f>weight!D246</f>
        <v>7</v>
      </c>
    </row>
    <row r="247" spans="1:4" ht="47.25" x14ac:dyDescent="0.25">
      <c r="A247" s="4">
        <f>weight!H247</f>
        <v>3</v>
      </c>
      <c r="B247" s="4" t="str">
        <f>weight!I247</f>
        <v>3.6.3</v>
      </c>
      <c r="C247" s="7" t="str">
        <f>TRIM(СжПробелы1(RIGHT(weight!J247,LEN(weight!J247)-LEN(weight!I247)-1)))</f>
        <v>Наблюдение за состоянием здоровья индивидуальных средств защиты и оборудования других участников тушения пожара</v>
      </c>
      <c r="D247" s="4">
        <f>weight!D247</f>
        <v>9</v>
      </c>
    </row>
    <row r="248" spans="1:4" ht="31.5" x14ac:dyDescent="0.25">
      <c r="A248" s="4">
        <f>weight!H248</f>
        <v>3</v>
      </c>
      <c r="B248" s="4" t="str">
        <f>weight!I248</f>
        <v>3.6.4</v>
      </c>
      <c r="C248" s="7" t="str">
        <f>TRIM(СжПробелы1(RIGHT(weight!J248,LEN(weight!J248)-LEN(weight!I248)-1)))</f>
        <v>При необходимости оказание помощи другим участниками тушения пожара</v>
      </c>
      <c r="D248" s="4">
        <f>weight!D248</f>
        <v>10</v>
      </c>
    </row>
    <row r="249" spans="1:4" ht="31.5" x14ac:dyDescent="0.25">
      <c r="A249" s="16">
        <f>weight!H249</f>
        <v>1</v>
      </c>
      <c r="B249" s="16" t="str">
        <f>weight!I249</f>
        <v>4</v>
      </c>
      <c r="C249" s="17" t="str">
        <f>TRIM(СжПробелы1(RIGHT(weight!J249,LEN(weight!J249)-LEN(weight!I249)-1)))</f>
        <v>Спасание на пожаре Эффективное спасание людей и имущества</v>
      </c>
      <c r="D249" s="16">
        <f>weight!D249</f>
        <v>9</v>
      </c>
    </row>
    <row r="250" spans="1:4" ht="31.5" x14ac:dyDescent="0.25">
      <c r="A250" s="4">
        <f>weight!H250</f>
        <v>2</v>
      </c>
      <c r="B250" s="4" t="str">
        <f>weight!I250</f>
        <v>4.1</v>
      </c>
      <c r="C250" s="7" t="str">
        <f>TRIM(СжПробелы1(RIGHT(weight!J250,LEN(weight!J250)-LEN(weight!I250)-1)))</f>
        <v>Эвакуация людей в безопасную зону безопасная транспортировка людей</v>
      </c>
      <c r="D250" s="4">
        <f>weight!D250</f>
        <v>10</v>
      </c>
    </row>
    <row r="251" spans="1:4" ht="31.5" x14ac:dyDescent="0.25">
      <c r="A251" s="4">
        <f>weight!H251</f>
        <v>3</v>
      </c>
      <c r="B251" s="4" t="str">
        <f>weight!I251</f>
        <v>4.1.1</v>
      </c>
      <c r="C251" s="7" t="str">
        <f>TRIM(СжПробелы1(RIGHT(weight!J251,LEN(weight!J251)-LEN(weight!I251)-1)))</f>
        <v>Медицинская сортировка пострадавших оказание помощи в первую очередь наиболее нуждающимся людям</v>
      </c>
      <c r="D251" s="4">
        <f>weight!D251</f>
        <v>9</v>
      </c>
    </row>
    <row r="252" spans="1:4" ht="15.75" x14ac:dyDescent="0.25">
      <c r="A252" s="4">
        <f>weight!H252</f>
        <v>3</v>
      </c>
      <c r="B252" s="4" t="str">
        <f>weight!I252</f>
        <v>4.1.2</v>
      </c>
      <c r="C252" s="7" t="str">
        <f>TRIM(СжПробелы1(RIGHT(weight!J252,LEN(weight!J252)-LEN(weight!I252)-1)))</f>
        <v>Обеспечение безопасных условий эвакуации</v>
      </c>
      <c r="D252" s="4">
        <f>weight!D252</f>
        <v>10</v>
      </c>
    </row>
    <row r="253" spans="1:4" ht="15.75" x14ac:dyDescent="0.25">
      <c r="A253" s="4">
        <f>weight!H253</f>
        <v>4</v>
      </c>
      <c r="B253" s="4" t="str">
        <f>weight!I253</f>
        <v>4.1.2.1</v>
      </c>
      <c r="C253" s="7" t="str">
        <f>TRIM(СжПробелы1(RIGHT(weight!J253,LEN(weight!J253)-LEN(weight!I253)-1)))</f>
        <v>Выбор наиболее безопасного маршрута транспортировки</v>
      </c>
      <c r="D253" s="4">
        <f>weight!D253</f>
        <v>8</v>
      </c>
    </row>
    <row r="254" spans="1:4" ht="15.75" x14ac:dyDescent="0.25">
      <c r="A254" s="4">
        <f>weight!H254</f>
        <v>4</v>
      </c>
      <c r="B254" s="4" t="str">
        <f>weight!I254</f>
        <v>4.1.2.2</v>
      </c>
      <c r="C254" s="7" t="str">
        <f>TRIM(СжПробелы1(RIGHT(weight!J254,LEN(weight!J254)-LEN(weight!I254)-1)))</f>
        <v>Выбор кратчайшего маршрута из безопасных</v>
      </c>
      <c r="D254" s="4">
        <f>weight!D254</f>
        <v>9</v>
      </c>
    </row>
    <row r="255" spans="1:4" ht="31.5" x14ac:dyDescent="0.25">
      <c r="A255" s="4">
        <f>weight!H255</f>
        <v>3</v>
      </c>
      <c r="B255" s="4" t="str">
        <f>weight!I255</f>
        <v>4.1.3</v>
      </c>
      <c r="C255" s="7" t="str">
        <f>TRIM(СжПробелы1(RIGHT(weight!J255,LEN(weight!J255)-LEN(weight!I255)-1)))</f>
        <v>Правильный выбор безопасного места для сбора эвакуируемых</v>
      </c>
      <c r="D255" s="4">
        <f>weight!D255</f>
        <v>8</v>
      </c>
    </row>
    <row r="256" spans="1:4" ht="15.75" x14ac:dyDescent="0.25">
      <c r="A256" s="4">
        <f>weight!H256</f>
        <v>3</v>
      </c>
      <c r="B256" s="4" t="str">
        <f>weight!I256</f>
        <v>4.1.4</v>
      </c>
      <c r="C256" s="7" t="str">
        <f>TRIM(СжПробелы1(RIGHT(weight!J256,LEN(weight!J256)-LEN(weight!I256)-1)))</f>
        <v>Организация взаимодействия с медицинскими службами</v>
      </c>
      <c r="D256" s="4">
        <f>weight!D256</f>
        <v>8</v>
      </c>
    </row>
    <row r="257" spans="1:4" ht="15.75" x14ac:dyDescent="0.25">
      <c r="A257" s="4">
        <f>weight!H257</f>
        <v>3</v>
      </c>
      <c r="B257" s="4" t="str">
        <f>weight!I257</f>
        <v>4.1.5</v>
      </c>
      <c r="C257" s="7" t="str">
        <f>TRIM(СжПробелы1(RIGHT(weight!J257,LEN(weight!J257)-LEN(weight!I257)-1)))</f>
        <v>Учет количества и состояния эвакуируемых</v>
      </c>
      <c r="D257" s="4">
        <f>weight!D257</f>
        <v>9</v>
      </c>
    </row>
    <row r="258" spans="1:4" ht="15.75" x14ac:dyDescent="0.25">
      <c r="A258" s="4">
        <f>weight!H258</f>
        <v>2</v>
      </c>
      <c r="B258" s="4" t="str">
        <f>weight!I258</f>
        <v>4.2</v>
      </c>
      <c r="C258" s="7" t="str">
        <f>TRIM(СжПробелы1(RIGHT(weight!J258,LEN(weight!J258)-LEN(weight!I258)-1)))</f>
        <v>Оказание доврачебной помощи при необходимости</v>
      </c>
      <c r="D258" s="4">
        <f>weight!D258</f>
        <v>6</v>
      </c>
    </row>
    <row r="259" spans="1:4" ht="31.5" x14ac:dyDescent="0.25">
      <c r="A259" s="4">
        <f>weight!H259</f>
        <v>3</v>
      </c>
      <c r="B259" s="4" t="str">
        <f>weight!I259</f>
        <v>4.2.1</v>
      </c>
      <c r="C259" s="7" t="str">
        <f>TRIM(СжПробелы1(RIGHT(weight!J259,LEN(weight!J259)-LEN(weight!I259)-1)))</f>
        <v>Определение приоритета и необходимости оказания помощи</v>
      </c>
      <c r="D259" s="4">
        <f>weight!D259</f>
        <v>8</v>
      </c>
    </row>
    <row r="260" spans="1:4" ht="31.5" x14ac:dyDescent="0.25">
      <c r="A260" s="4">
        <f>weight!H260</f>
        <v>3</v>
      </c>
      <c r="B260" s="4" t="str">
        <f>weight!I260</f>
        <v>4.2.2</v>
      </c>
      <c r="C260" s="7" t="str">
        <f>TRIM(СжПробелы1(RIGHT(weight!J260,LEN(weight!J260)-LEN(weight!I260)-1)))</f>
        <v>Определение достаточности квалификации для оказания доврачебной помощи</v>
      </c>
      <c r="D260" s="4">
        <f>weight!D260</f>
        <v>9</v>
      </c>
    </row>
    <row r="261" spans="1:4" ht="15.75" x14ac:dyDescent="0.25">
      <c r="A261" s="4">
        <f>weight!H261</f>
        <v>2</v>
      </c>
      <c r="B261" s="4" t="str">
        <f>weight!I261</f>
        <v>4.3</v>
      </c>
      <c r="C261" s="7" t="str">
        <f>TRIM(СжПробелы1(RIGHT(weight!J261,LEN(weight!J261)-LEN(weight!I261)-1)))</f>
        <v>Эвакуация или защита ценного имущества</v>
      </c>
      <c r="D261" s="4">
        <f>weight!D261</f>
        <v>4</v>
      </c>
    </row>
    <row r="262" spans="1:4" ht="31.5" x14ac:dyDescent="0.25">
      <c r="A262" s="4">
        <f>weight!H262</f>
        <v>3</v>
      </c>
      <c r="B262" s="4" t="str">
        <f>weight!I262</f>
        <v>4.3.1</v>
      </c>
      <c r="C262" s="7" t="str">
        <f>TRIM(СжПробелы1(RIGHT(weight!J262,LEN(weight!J262)-LEN(weight!I262)-1)))</f>
        <v>Определение необходимости эвакуации ценного имущества</v>
      </c>
      <c r="D262" s="4">
        <f>weight!D262</f>
        <v>9</v>
      </c>
    </row>
    <row r="263" spans="1:4" ht="15.75" x14ac:dyDescent="0.25">
      <c r="A263" s="4">
        <f>weight!H263</f>
        <v>3</v>
      </c>
      <c r="B263" s="4" t="str">
        <f>weight!I263</f>
        <v>4.3.2</v>
      </c>
      <c r="C263" s="7" t="str">
        <f>TRIM(СжПробелы1(RIGHT(weight!J263,LEN(weight!J263)-LEN(weight!I263)-1)))</f>
        <v>Выбор безопасного способа и пути для эвакуации</v>
      </c>
      <c r="D263" s="4">
        <f>weight!D263</f>
        <v>7</v>
      </c>
    </row>
    <row r="264" spans="1:4" ht="15.75" x14ac:dyDescent="0.25">
      <c r="A264" s="4">
        <f>weight!H264</f>
        <v>3</v>
      </c>
      <c r="B264" s="4" t="str">
        <f>weight!I264</f>
        <v>4.3.3</v>
      </c>
      <c r="C264" s="7" t="str">
        <f>TRIM(СжПробелы1(RIGHT(weight!J264,LEN(weight!J264)-LEN(weight!I264)-1)))</f>
        <v>Определение необходимости защиты ценного имущества</v>
      </c>
      <c r="D264" s="4">
        <f>weight!D264</f>
        <v>8</v>
      </c>
    </row>
    <row r="265" spans="1:4" ht="31.5" x14ac:dyDescent="0.25">
      <c r="A265" s="4">
        <f>weight!H265</f>
        <v>3</v>
      </c>
      <c r="B265" s="4" t="str">
        <f>weight!I265</f>
        <v>4.3.4</v>
      </c>
      <c r="C265" s="7" t="str">
        <f>TRIM(СжПробелы1(RIGHT(weight!J265,LEN(weight!J265)-LEN(weight!I265)-1)))</f>
        <v>Правильный выбор безопасного места для хранения эвакуируемого имущества</v>
      </c>
      <c r="D265" s="4">
        <f>weight!D265</f>
        <v>8</v>
      </c>
    </row>
    <row r="266" spans="1:4" ht="15.75" x14ac:dyDescent="0.25">
      <c r="A266" s="4">
        <f>weight!H266</f>
        <v>3</v>
      </c>
      <c r="B266" s="4" t="str">
        <f>weight!I266</f>
        <v>4.3.5</v>
      </c>
      <c r="C266" s="7" t="str">
        <f>TRIM(СжПробелы1(RIGHT(weight!J266,LEN(weight!J266)-LEN(weight!I266)-1)))</f>
        <v>Охрана имущества</v>
      </c>
      <c r="D266" s="4">
        <f>weight!D266</f>
        <v>3</v>
      </c>
    </row>
    <row r="267" spans="1:4" ht="31.5" x14ac:dyDescent="0.25">
      <c r="A267" s="4">
        <f>weight!H267</f>
        <v>2</v>
      </c>
      <c r="B267" s="4" t="str">
        <f>weight!I267</f>
        <v>4.4</v>
      </c>
      <c r="C267" s="7" t="str">
        <f>TRIM(СжПробелы1(RIGHT(weight!J267,LEN(weight!J267)-LEN(weight!I267)-1)))</f>
        <v>Обеспечение безопасных условий работы для личного состава и технических средств</v>
      </c>
      <c r="D267" s="4">
        <f>weight!D267</f>
        <v>7</v>
      </c>
    </row>
    <row r="268" spans="1:4" ht="31.5" x14ac:dyDescent="0.25">
      <c r="A268" s="16">
        <f>weight!H268</f>
        <v>1</v>
      </c>
      <c r="B268" s="16" t="str">
        <f>weight!I268</f>
        <v>5</v>
      </c>
      <c r="C268" s="17" t="str">
        <f>TRIM(СжПробелы1(RIGHT(weight!J268,LEN(weight!J268)-LEN(weight!I268)-1)))</f>
        <v>Аварийные работы - Обеспечение условий для тушения а также спасания людей и имущества</v>
      </c>
      <c r="D268" s="16">
        <f>weight!D268</f>
        <v>8</v>
      </c>
    </row>
    <row r="269" spans="1:4" ht="31.5" x14ac:dyDescent="0.25">
      <c r="A269" s="4">
        <f>weight!H269</f>
        <v>2</v>
      </c>
      <c r="B269" s="4" t="str">
        <f>weight!I269</f>
        <v>5.1</v>
      </c>
      <c r="C269" s="7" t="str">
        <f>TRIM(СжПробелы1(RIGHT(weight!J269,LEN(weight!J269)-LEN(weight!I269)-1)))</f>
        <v>Предотвращение вторичных проявлений опасных факторов пожара</v>
      </c>
      <c r="D269" s="4">
        <f>weight!D269</f>
        <v>8</v>
      </c>
    </row>
    <row r="270" spans="1:4" ht="31.5" x14ac:dyDescent="0.25">
      <c r="A270" s="4">
        <f>weight!H270</f>
        <v>3</v>
      </c>
      <c r="B270" s="4" t="str">
        <f>weight!I270</f>
        <v>5.1.1</v>
      </c>
      <c r="C270" s="7" t="str">
        <f>TRIM(СжПробелы1(RIGHT(weight!J270,LEN(weight!J270)-LEN(weight!I270)-1)))</f>
        <v>Выбор наиболее эффективных способов и приемов выполнения</v>
      </c>
      <c r="D270" s="4">
        <f>weight!D270</f>
        <v>9</v>
      </c>
    </row>
    <row r="271" spans="1:4" ht="31.5" x14ac:dyDescent="0.25">
      <c r="A271" s="4">
        <f>weight!H271</f>
        <v>3</v>
      </c>
      <c r="B271" s="4" t="str">
        <f>weight!I271</f>
        <v>5.1.2</v>
      </c>
      <c r="C271" s="7" t="str">
        <f>TRIM(СжПробелы1(RIGHT(weight!J271,LEN(weight!J271)-LEN(weight!I271)-1)))</f>
        <v>Обеспечение безопасных условий работы для личного состава и технических средств</v>
      </c>
      <c r="D271" s="4">
        <f>weight!D271</f>
        <v>7</v>
      </c>
    </row>
    <row r="272" spans="1:4" ht="15.75" x14ac:dyDescent="0.25">
      <c r="A272" s="4">
        <f>weight!H272</f>
        <v>2</v>
      </c>
      <c r="B272" s="4" t="str">
        <f>weight!I272</f>
        <v>5.2</v>
      </c>
      <c r="C272" s="7" t="str">
        <f>TRIM(СжПробелы1(RIGHT(weight!J272,LEN(weight!J272)-LEN(weight!I272)-1)))</f>
        <v>Освещение места пожара</v>
      </c>
      <c r="D272" s="4">
        <f>weight!D272</f>
        <v>9</v>
      </c>
    </row>
    <row r="273" spans="1:4" ht="31.5" x14ac:dyDescent="0.25">
      <c r="A273" s="4">
        <f>weight!H273</f>
        <v>3</v>
      </c>
      <c r="B273" s="4" t="str">
        <f>weight!I273</f>
        <v>5.2.1</v>
      </c>
      <c r="C273" s="7" t="str">
        <f>TRIM(СжПробелы1(RIGHT(weight!J273,LEN(weight!J273)-LEN(weight!I273)-1)))</f>
        <v>Выбор наиболее эффективных способов и приемов выполнения</v>
      </c>
      <c r="D273" s="4">
        <f>weight!D273</f>
        <v>9</v>
      </c>
    </row>
    <row r="274" spans="1:4" ht="31.5" x14ac:dyDescent="0.25">
      <c r="A274" s="4">
        <f>weight!H274</f>
        <v>3</v>
      </c>
      <c r="B274" s="4" t="str">
        <f>weight!I274</f>
        <v>5.2.2</v>
      </c>
      <c r="C274" s="7" t="str">
        <f>TRIM(СжПробелы1(RIGHT(weight!J274,LEN(weight!J274)-LEN(weight!I274)-1)))</f>
        <v>Обеспечение безопасных условий работы для личного состава и технических средств</v>
      </c>
      <c r="D274" s="4">
        <f>weight!D274</f>
        <v>7</v>
      </c>
    </row>
    <row r="275" spans="1:4" ht="15.75" x14ac:dyDescent="0.25">
      <c r="A275" s="4">
        <f>weight!H275</f>
        <v>2</v>
      </c>
      <c r="B275" s="4" t="str">
        <f>weight!I275</f>
        <v>5.3</v>
      </c>
      <c r="C275" s="7" t="str">
        <f>TRIM(СжПробелы1(RIGHT(weight!J275,LEN(weight!J275)-LEN(weight!I275)-1)))</f>
        <v>Дымоудаление</v>
      </c>
      <c r="D275" s="4">
        <f>weight!D275</f>
        <v>9</v>
      </c>
    </row>
    <row r="276" spans="1:4" ht="31.5" x14ac:dyDescent="0.25">
      <c r="A276" s="4">
        <f>weight!H276</f>
        <v>3</v>
      </c>
      <c r="B276" s="4" t="str">
        <f>weight!I276</f>
        <v>5.3.1</v>
      </c>
      <c r="C276" s="7" t="str">
        <f>TRIM(СжПробелы1(RIGHT(weight!J276,LEN(weight!J276)-LEN(weight!I276)-1)))</f>
        <v>Выбор наиболее эффективных способов и приемов выполнения</v>
      </c>
      <c r="D276" s="4">
        <f>weight!D276</f>
        <v>9</v>
      </c>
    </row>
    <row r="277" spans="1:4" ht="31.5" x14ac:dyDescent="0.25">
      <c r="A277" s="4">
        <f>weight!H277</f>
        <v>3</v>
      </c>
      <c r="B277" s="4" t="str">
        <f>weight!I277</f>
        <v>5.3.2</v>
      </c>
      <c r="C277" s="7" t="str">
        <f>TRIM(СжПробелы1(RIGHT(weight!J277,LEN(weight!J277)-LEN(weight!I277)-1)))</f>
        <v>Обеспечение безопасных условий работы для личного состава и технических средств</v>
      </c>
      <c r="D277" s="4">
        <f>weight!D277</f>
        <v>7</v>
      </c>
    </row>
    <row r="278" spans="1:4" ht="31.5" x14ac:dyDescent="0.25">
      <c r="A278" s="4">
        <f>weight!H278</f>
        <v>2</v>
      </c>
      <c r="B278" s="4" t="str">
        <f>weight!I278</f>
        <v>5.4</v>
      </c>
      <c r="C278" s="7" t="str">
        <f>TRIM(СжПробелы1(RIGHT(weight!J278,LEN(weight!J278)-LEN(weight!I278)-1)))</f>
        <v>Обеспечение безопасных условий работы для личного состава и технических средств</v>
      </c>
      <c r="D278" s="4">
        <f>weight!D278</f>
        <v>7</v>
      </c>
    </row>
    <row r="279" spans="1:4" ht="31.5" x14ac:dyDescent="0.25">
      <c r="A279" s="16">
        <f>weight!H279</f>
        <v>1</v>
      </c>
      <c r="B279" s="16" t="str">
        <f>weight!I279</f>
        <v>6</v>
      </c>
      <c r="C279" s="17" t="str">
        <f>TRIM(СжПробелы1(RIGHT(weight!J279,LEN(weight!J279)-LEN(weight!I279)-1)))</f>
        <v>Сбор после пожара - Сокращение времени сбора подразделения после пожара</v>
      </c>
      <c r="D279" s="16">
        <f>weight!D279</f>
        <v>6</v>
      </c>
    </row>
    <row r="280" spans="1:4" ht="15.75" x14ac:dyDescent="0.25">
      <c r="A280" s="4">
        <f>weight!H280</f>
        <v>2</v>
      </c>
      <c r="B280" s="4" t="str">
        <f>weight!I280</f>
        <v>6.1</v>
      </c>
      <c r="C280" s="7" t="str">
        <f>TRIM(СжПробелы1(RIGHT(weight!J280,LEN(weight!J280)-LEN(weight!I280)-1)))</f>
        <v>Эффективная организация работ</v>
      </c>
      <c r="D280" s="4">
        <f>weight!D280</f>
        <v>10</v>
      </c>
    </row>
    <row r="281" spans="1:4" ht="15.75" x14ac:dyDescent="0.25">
      <c r="A281" s="4">
        <f>weight!H281</f>
        <v>2</v>
      </c>
      <c r="B281" s="4" t="str">
        <f>weight!I281</f>
        <v>6.2</v>
      </c>
      <c r="C281" s="7" t="str">
        <f>TRIM(СжПробелы1(RIGHT(weight!J281,LEN(weight!J281)-LEN(weight!I281)-1)))</f>
        <v>Использование эффективных способов выполнения работ</v>
      </c>
      <c r="D281" s="4">
        <f>weight!D281</f>
        <v>8</v>
      </c>
    </row>
    <row r="282" spans="1:4" ht="15.75" x14ac:dyDescent="0.25">
      <c r="A282" s="4">
        <f>weight!H282</f>
        <v>2</v>
      </c>
      <c r="B282" s="4" t="str">
        <f>weight!I282</f>
        <v>6.3</v>
      </c>
      <c r="C282" s="7" t="str">
        <f>TRIM(СжПробелы1(RIGHT(weight!J282,LEN(weight!J282)-LEN(weight!I282)-1)))</f>
        <v>Использование технических средств</v>
      </c>
      <c r="D282" s="4">
        <f>weight!D282</f>
        <v>7</v>
      </c>
    </row>
    <row r="283" spans="1:4" ht="31.5" x14ac:dyDescent="0.25">
      <c r="A283" s="4">
        <f>weight!H283</f>
        <v>2</v>
      </c>
      <c r="B283" s="4" t="str">
        <f>weight!I283</f>
        <v>6.4</v>
      </c>
      <c r="C283" s="7" t="str">
        <f>TRIM(СжПробелы1(RIGHT(weight!J283,LEN(weight!J283)-LEN(weight!I283)-1)))</f>
        <v>Замена использованных напорных рукавов на месте пожара рукавной службой</v>
      </c>
      <c r="D283" s="4">
        <f>weight!D283</f>
        <v>9</v>
      </c>
    </row>
    <row r="284" spans="1:4" ht="31.5" x14ac:dyDescent="0.25">
      <c r="A284" s="4">
        <f>weight!H284</f>
        <v>2</v>
      </c>
      <c r="B284" s="4" t="str">
        <f>weight!I284</f>
        <v>6.5</v>
      </c>
      <c r="C284" s="7" t="str">
        <f>TRIM(СжПробелы1(RIGHT(weight!J284,LEN(weight!J284)-LEN(weight!I284)-1)))</f>
        <v>Обеспечение безопасных условий работы для личного состава и технических средств</v>
      </c>
      <c r="D284" s="4">
        <f>weight!D284</f>
        <v>7</v>
      </c>
    </row>
    <row r="285" spans="1:4" ht="31.5" x14ac:dyDescent="0.25">
      <c r="A285" s="16">
        <f>weight!H285</f>
        <v>1</v>
      </c>
      <c r="B285" s="16" t="str">
        <f>weight!I285</f>
        <v>7</v>
      </c>
      <c r="C285" s="17" t="str">
        <f>TRIM(СжПробелы1(RIGHT(weight!J285,LEN(weight!J285)-LEN(weight!I285)-1)))</f>
        <v>Возвращение к месту дислокации - Сокращение времени следования</v>
      </c>
      <c r="D285" s="16">
        <f>weight!D285</f>
        <v>5</v>
      </c>
    </row>
    <row r="286" spans="1:4" ht="15.75" x14ac:dyDescent="0.25">
      <c r="A286" s="4">
        <f>weight!H286</f>
        <v>2</v>
      </c>
      <c r="B286" s="4" t="str">
        <f>weight!I286</f>
        <v>7.1</v>
      </c>
      <c r="C286" s="7" t="str">
        <f>TRIM(СжПробелы1(RIGHT(weight!J286,LEN(weight!J286)-LEN(weight!I286)-1)))</f>
        <v>Выбор наиболее быстрого маршрута следования</v>
      </c>
      <c r="D286" s="4">
        <f>weight!D286</f>
        <v>8</v>
      </c>
    </row>
    <row r="287" spans="1:4" ht="15.75" x14ac:dyDescent="0.25">
      <c r="A287" s="4">
        <f>weight!H287</f>
        <v>3</v>
      </c>
      <c r="B287" s="4" t="str">
        <f>weight!I287</f>
        <v>7.1.1</v>
      </c>
      <c r="C287" s="7" t="str">
        <f>TRIM(СжПробелы1(RIGHT(weight!J287,LEN(weight!J287)-LEN(weight!I287)-1)))</f>
        <v>Знание водителями района выезда</v>
      </c>
      <c r="D287" s="4">
        <f>weight!D287</f>
        <v>9</v>
      </c>
    </row>
    <row r="288" spans="1:4" ht="15.75" x14ac:dyDescent="0.25">
      <c r="A288" s="4">
        <f>weight!H288</f>
        <v>3</v>
      </c>
      <c r="B288" s="4" t="str">
        <f>weight!I288</f>
        <v>7.1.2</v>
      </c>
      <c r="C288" s="7" t="str">
        <f>TRIM(СжПробелы1(RIGHT(weight!J288,LEN(weight!J288)-LEN(weight!I288)-1)))</f>
        <v>Квалификация водителя пожарного автомобиля</v>
      </c>
      <c r="D288" s="4">
        <f>weight!D288</f>
        <v>10</v>
      </c>
    </row>
    <row r="289" spans="1:4" ht="15.75" x14ac:dyDescent="0.25">
      <c r="A289" s="4">
        <f>weight!H289</f>
        <v>4</v>
      </c>
      <c r="B289" s="4" t="str">
        <f>weight!I289</f>
        <v>7.1.2.1</v>
      </c>
      <c r="C289" s="7" t="str">
        <f>TRIM(СжПробелы1(RIGHT(weight!J289,LEN(weight!J289)-LEN(weight!I289)-1)))</f>
        <v>Навыки вождения автомобиля</v>
      </c>
      <c r="D289" s="4">
        <f>weight!D289</f>
        <v>10</v>
      </c>
    </row>
    <row r="290" spans="1:4" ht="31.5" x14ac:dyDescent="0.25">
      <c r="A290" s="4">
        <f>weight!H290</f>
        <v>4</v>
      </c>
      <c r="B290" s="4" t="str">
        <f>weight!I290</f>
        <v>7.1.2.2</v>
      </c>
      <c r="C290" s="7" t="str">
        <f>TRIM(СжПробелы1(RIGHT(weight!J290,LEN(weight!J290)-LEN(weight!I290)-1)))</f>
        <v>Знание Правил дорожного движения в том числе и для автомобилей со спецсигналами</v>
      </c>
      <c r="D290" s="4">
        <f>weight!D290</f>
        <v>8</v>
      </c>
    </row>
    <row r="291" spans="1:4" ht="15.75" x14ac:dyDescent="0.25">
      <c r="A291" s="4">
        <f>weight!H291</f>
        <v>4</v>
      </c>
      <c r="B291" s="4" t="str">
        <f>weight!I291</f>
        <v>7.1.2.3</v>
      </c>
      <c r="C291" s="7" t="str">
        <f>TRIM(СжПробелы1(RIGHT(weight!J291,LEN(weight!J291)-LEN(weight!I291)-1)))</f>
        <v>Опыт работы водителя по специальности</v>
      </c>
      <c r="D291" s="4">
        <f>weight!D291</f>
        <v>9</v>
      </c>
    </row>
    <row r="292" spans="1:4" ht="15.75" x14ac:dyDescent="0.25">
      <c r="A292" s="4">
        <f>weight!H292</f>
        <v>3</v>
      </c>
      <c r="B292" s="4" t="str">
        <f>weight!I292</f>
        <v>7.1.3</v>
      </c>
      <c r="C292" s="7" t="str">
        <f>TRIM(СжПробелы1(RIGHT(weight!J292,LEN(weight!J292)-LEN(weight!I292)-1)))</f>
        <v>Использование геоинформационных систем</v>
      </c>
      <c r="D292" s="4">
        <f>weight!D292</f>
        <v>7</v>
      </c>
    </row>
    <row r="293" spans="1:4" ht="31.5" x14ac:dyDescent="0.25">
      <c r="A293" s="4">
        <f>weight!H293</f>
        <v>3</v>
      </c>
      <c r="B293" s="4" t="str">
        <f>weight!I293</f>
        <v>7.1.4</v>
      </c>
      <c r="C293" s="7" t="str">
        <f>TRIM(СжПробелы1(RIGHT(weight!J293,LEN(weight!J293)-LEN(weight!I293)-1)))</f>
        <v>Получение информации о препятствиях на пути следования от диспетчера</v>
      </c>
      <c r="D293" s="4">
        <f>weight!D293</f>
        <v>7</v>
      </c>
    </row>
    <row r="294" spans="1:4" ht="31.5" x14ac:dyDescent="0.25">
      <c r="A294" s="4">
        <f>weight!H294</f>
        <v>3</v>
      </c>
      <c r="B294" s="4" t="str">
        <f>weight!I294</f>
        <v>7.1.5</v>
      </c>
      <c r="C294" s="7" t="str">
        <f>TRIM(СжПробелы1(RIGHT(weight!J294,LEN(weight!J294)-LEN(weight!I294)-1)))</f>
        <v>Использование специальных звуковых и световых сигнальных устройств пожарного автомобиля</v>
      </c>
      <c r="D294" s="4">
        <f>weight!D294</f>
        <v>6</v>
      </c>
    </row>
    <row r="295" spans="1:4" ht="15.75" x14ac:dyDescent="0.25">
      <c r="A295" s="4">
        <f>weight!H295</f>
        <v>3</v>
      </c>
      <c r="B295" s="4" t="str">
        <f>weight!I295</f>
        <v>7.1.6</v>
      </c>
      <c r="C295" s="7" t="str">
        <f>TRIM(СжПробелы1(RIGHT(weight!J295,LEN(weight!J295)-LEN(weight!I295)-1)))</f>
        <v>Учет состояния дорожного покрытия и погодных условий</v>
      </c>
      <c r="D295" s="4">
        <f>weight!D295</f>
        <v>6</v>
      </c>
    </row>
    <row r="296" spans="1:4" ht="47.25" x14ac:dyDescent="0.25">
      <c r="A296" s="4">
        <f>weight!H296</f>
        <v>2</v>
      </c>
      <c r="B296" s="4" t="str">
        <f>weight!I296</f>
        <v>7.2</v>
      </c>
      <c r="C296" s="7" t="str">
        <f>TRIM(СжПробелы1(RIGHT(weight!J296,LEN(weight!J296)-LEN(weight!I296)-1)))</f>
        <v>Возможность заправки техники горючим и огнетушащими веществами в пункте на маршруте следования или с незначительным отклонением от маршрута</v>
      </c>
      <c r="D296" s="4">
        <f>weight!D296</f>
        <v>9</v>
      </c>
    </row>
    <row r="297" spans="1:4" ht="47.25" x14ac:dyDescent="0.25">
      <c r="A297" s="4">
        <f>weight!H297</f>
        <v>2</v>
      </c>
      <c r="B297" s="4" t="str">
        <f>weight!I297</f>
        <v>7.3</v>
      </c>
      <c r="C297" s="7" t="str">
        <f>TRIM(СжПробелы1(RIGHT(weight!J297,LEN(weight!J297)-LEN(weight!I297)-1)))</f>
        <v>Замена использованных напорных рукавов в пункте на маршруте следования или с незначительным отклонением от маршрута</v>
      </c>
      <c r="D297" s="4">
        <f>weight!D297</f>
        <v>9</v>
      </c>
    </row>
    <row r="298" spans="1:4" ht="31.5" x14ac:dyDescent="0.25">
      <c r="A298" s="16">
        <f>weight!H298</f>
        <v>1</v>
      </c>
      <c r="B298" s="16" t="str">
        <f>weight!I298</f>
        <v>8</v>
      </c>
      <c r="C298" s="17" t="str">
        <f>TRIM(СжПробелы1(RIGHT(weight!J298,LEN(weight!J298)-LEN(weight!I298)-1)))</f>
        <v>Подготовка к следующему вызову Повышение качества подготовки</v>
      </c>
      <c r="D298" s="16">
        <f>weight!D298</f>
        <v>6</v>
      </c>
    </row>
    <row r="299" spans="1:4" ht="15.75" x14ac:dyDescent="0.25">
      <c r="A299" s="4">
        <f>weight!H299</f>
        <v>2</v>
      </c>
      <c r="B299" s="4" t="str">
        <f>weight!I299</f>
        <v>8.1</v>
      </c>
      <c r="C299" s="7" t="str">
        <f>TRIM(СжПробелы1(RIGHT(weight!J299,LEN(weight!J299)-LEN(weight!I299)-1)))</f>
        <v>Подготовка пожарного оборудования к использованию</v>
      </c>
      <c r="D299" s="4">
        <f>weight!D299</f>
        <v>10</v>
      </c>
    </row>
    <row r="300" spans="1:4" ht="31.5" x14ac:dyDescent="0.25">
      <c r="A300" s="4">
        <f>weight!H300</f>
        <v>3</v>
      </c>
      <c r="B300" s="4" t="str">
        <f>weight!I300</f>
        <v>8.1.1</v>
      </c>
      <c r="C300" s="7" t="str">
        <f>TRIM(СжПробелы1(RIGHT(weight!J300,LEN(weight!J300)-LEN(weight!I300)-1)))</f>
        <v>Доукомплектование пожарных автомобилей рукавами по мере необходимости</v>
      </c>
      <c r="D300" s="4">
        <f>weight!D300</f>
        <v>9</v>
      </c>
    </row>
    <row r="301" spans="1:4" ht="15.75" x14ac:dyDescent="0.25">
      <c r="A301" s="4">
        <f>weight!H301</f>
        <v>3</v>
      </c>
      <c r="B301" s="4" t="str">
        <f>weight!I301</f>
        <v>8.1.2</v>
      </c>
      <c r="C301" s="7" t="str">
        <f>TRIM(СжПробелы1(RIGHT(weight!J301,LEN(weight!J301)-LEN(weight!I301)-1)))</f>
        <v>Замена использованных баллонов для СИЗОД</v>
      </c>
      <c r="D301" s="4">
        <f>weight!D301</f>
        <v>9</v>
      </c>
    </row>
    <row r="302" spans="1:4" ht="15.75" x14ac:dyDescent="0.25">
      <c r="A302" s="4">
        <f>weight!H302</f>
        <v>3</v>
      </c>
      <c r="B302" s="4" t="str">
        <f>weight!I302</f>
        <v>8.1.3</v>
      </c>
      <c r="C302" s="7" t="str">
        <f>TRIM(СжПробелы1(RIGHT(weight!J302,LEN(weight!J302)-LEN(weight!I302)-1)))</f>
        <v>Замена боевой одежды при необходимости</v>
      </c>
      <c r="D302" s="4">
        <f>weight!D302</f>
        <v>7</v>
      </c>
    </row>
    <row r="303" spans="1:4" ht="15.75" x14ac:dyDescent="0.25">
      <c r="A303" s="4">
        <f>weight!H303</f>
        <v>2</v>
      </c>
      <c r="B303" s="4" t="str">
        <f>weight!I303</f>
        <v>8.2</v>
      </c>
      <c r="C303" s="7" t="str">
        <f>TRIM(СжПробелы1(RIGHT(weight!J303,LEN(weight!J303)-LEN(weight!I303)-1)))</f>
        <v>Заправка техники горючим и огнетушащими веществами</v>
      </c>
      <c r="D303" s="4">
        <f>weight!D303</f>
        <v>10</v>
      </c>
    </row>
    <row r="304" spans="1:4" ht="31.5" x14ac:dyDescent="0.25">
      <c r="A304" s="16">
        <f>weight!H304</f>
        <v>1</v>
      </c>
      <c r="B304" s="16" t="str">
        <f>weight!I304</f>
        <v>9</v>
      </c>
      <c r="C304" s="17" t="str">
        <f>TRIM(СжПробелы1(RIGHT(weight!J304,LEN(weight!J304)-LEN(weight!I304)-1)))</f>
        <v>Отдых после дежурства Повышение качество восстановления и подготовке к дежурству</v>
      </c>
      <c r="D304" s="16">
        <f>weight!D304</f>
        <v>4</v>
      </c>
    </row>
    <row r="305" spans="1:4" ht="63" x14ac:dyDescent="0.25">
      <c r="A305" s="4">
        <f>weight!H305</f>
        <v>2</v>
      </c>
      <c r="B305" s="4" t="str">
        <f>weight!I305</f>
        <v>9.1</v>
      </c>
      <c r="C305" s="7" t="str">
        <f>TRIM(СжПробелы1(RIGHT(weight!J305,LEN(weight!J305)-LEN(weight!I305)-1)))</f>
        <v>Участие в общественных и спортивных мероприятиях способствующих повышению уровня психологического и физического здоровья повышению профессионального уровня</v>
      </c>
      <c r="D305" s="4">
        <f>weight!D305</f>
        <v>7</v>
      </c>
    </row>
    <row r="306" spans="1:4" ht="15.75" x14ac:dyDescent="0.25">
      <c r="A306" s="4">
        <f>weight!H306</f>
        <v>2</v>
      </c>
      <c r="B306" s="4" t="str">
        <f>weight!I306</f>
        <v>9.2</v>
      </c>
      <c r="C306" s="7" t="str">
        <f>TRIM(СжПробелы1(RIGHT(weight!J306,LEN(weight!J306)-LEN(weight!I306)-1)))</f>
        <v>Нормальные социально-бытовые условия проживания</v>
      </c>
      <c r="D306" s="4">
        <f>weight!D306</f>
        <v>9</v>
      </c>
    </row>
  </sheetData>
  <autoFilter ref="A1:D306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KW307"/>
  <sheetViews>
    <sheetView workbookViewId="0">
      <pane xSplit="3" ySplit="1" topLeftCell="D2" activePane="bottomRight" state="frozen"/>
      <selection pane="topRight" activeCell="C1" sqref="C1"/>
      <selection pane="bottomLeft" activeCell="A2" sqref="A2"/>
      <selection pane="bottomRight" activeCell="HR308" sqref="HR308"/>
    </sheetView>
  </sheetViews>
  <sheetFormatPr defaultRowHeight="15" outlineLevelCol="2" x14ac:dyDescent="0.25"/>
  <cols>
    <col min="1" max="1" width="3.140625" customWidth="1"/>
    <col min="2" max="2" width="3.7109375" bestFit="1" customWidth="1"/>
    <col min="3" max="3" width="73.85546875" customWidth="1"/>
    <col min="4" max="6" width="3.7109375" bestFit="1" customWidth="1"/>
    <col min="7" max="7" width="3.7109375" customWidth="1" outlineLevel="1"/>
    <col min="8" max="93" width="3.7109375" hidden="1" customWidth="1" outlineLevel="2"/>
    <col min="94" max="94" width="3.7109375" customWidth="1" outlineLevel="1" collapsed="1"/>
    <col min="95" max="102" width="3.7109375" customWidth="1" outlineLevel="2"/>
    <col min="103" max="103" width="3.7109375" customWidth="1" outlineLevel="1"/>
    <col min="104" max="106" width="3.7109375" customWidth="1" outlineLevel="2"/>
    <col min="107" max="107" width="3.7109375" customWidth="1" outlineLevel="1"/>
    <col min="108" max="130" width="3.7109375" customWidth="1" outlineLevel="2"/>
    <col min="131" max="131" width="3.7109375" customWidth="1" outlineLevel="1"/>
    <col min="132" max="134" width="3.7109375" customWidth="1" outlineLevel="2"/>
    <col min="135" max="135" width="3.7109375" customWidth="1" outlineLevel="1"/>
    <col min="136" max="138" width="3.7109375" customWidth="1" outlineLevel="2"/>
    <col min="139" max="139" width="3.7109375" bestFit="1" customWidth="1"/>
    <col min="140" max="140" width="3.7109375" hidden="1" customWidth="1" outlineLevel="1"/>
    <col min="141" max="156" width="3.7109375" hidden="1" customWidth="1" outlineLevel="2"/>
    <col min="157" max="157" width="3.7109375" hidden="1" customWidth="1" outlineLevel="1"/>
    <col min="158" max="168" width="3.7109375" hidden="1" customWidth="1" outlineLevel="2"/>
    <col min="169" max="169" width="3.7109375" hidden="1" customWidth="1" outlineLevel="1"/>
    <col min="170" max="172" width="3.7109375" hidden="1" customWidth="1" outlineLevel="2"/>
    <col min="173" max="173" width="3.7109375" hidden="1" customWidth="1" outlineLevel="1"/>
    <col min="174" max="178" width="3.7109375" hidden="1" customWidth="1" outlineLevel="2"/>
    <col min="179" max="179" width="3.7109375" bestFit="1" customWidth="1" collapsed="1"/>
    <col min="180" max="180" width="3.7109375" customWidth="1" outlineLevel="1"/>
    <col min="181" max="188" width="3.7109375" customWidth="1" outlineLevel="2"/>
    <col min="189" max="189" width="3.7109375" customWidth="1" outlineLevel="1"/>
    <col min="190" max="230" width="3.7109375" customWidth="1" outlineLevel="2"/>
    <col min="231" max="231" width="3.7109375" customWidth="1" outlineLevel="1"/>
    <col min="232" max="235" width="3.7109375" customWidth="1" outlineLevel="2"/>
    <col min="236" max="236" width="3.7109375" customWidth="1" outlineLevel="1"/>
    <col min="237" max="240" width="3.7109375" customWidth="1" outlineLevel="2"/>
    <col min="241" max="241" width="3.7109375" customWidth="1" outlineLevel="1"/>
    <col min="242" max="246" width="3.7109375" customWidth="1" outlineLevel="2"/>
    <col min="247" max="247" width="3.7109375" customWidth="1" outlineLevel="1"/>
    <col min="248" max="251" width="3.7109375" customWidth="1" outlineLevel="2"/>
    <col min="252" max="252" width="3.7109375" bestFit="1" customWidth="1"/>
    <col min="253" max="253" width="3.7109375" customWidth="1" outlineLevel="1"/>
    <col min="254" max="260" width="3.7109375" customWidth="1" outlineLevel="2"/>
    <col min="261" max="261" width="3.7109375" customWidth="1" outlineLevel="1"/>
    <col min="262" max="263" width="3.7109375" customWidth="1" outlineLevel="2"/>
    <col min="264" max="264" width="3.7109375" customWidth="1" outlineLevel="1"/>
    <col min="265" max="269" width="3.7109375" customWidth="1" outlineLevel="2"/>
    <col min="270" max="270" width="3.7109375" customWidth="1" outlineLevel="1"/>
    <col min="271" max="271" width="3.7109375" bestFit="1" customWidth="1"/>
    <col min="272" max="272" width="3.7109375" customWidth="1" outlineLevel="1"/>
    <col min="273" max="274" width="3.7109375" customWidth="1" outlineLevel="2"/>
    <col min="275" max="275" width="3.7109375" customWidth="1" outlineLevel="1"/>
    <col min="276" max="277" width="3.7109375" customWidth="1" outlineLevel="2"/>
    <col min="278" max="278" width="3.7109375" customWidth="1" outlineLevel="1"/>
    <col min="279" max="280" width="3.7109375" customWidth="1" outlineLevel="2"/>
    <col min="281" max="281" width="3.7109375" customWidth="1" outlineLevel="1"/>
    <col min="282" max="282" width="3.7109375" customWidth="1"/>
    <col min="283" max="287" width="3.7109375" customWidth="1" outlineLevel="1"/>
    <col min="288" max="288" width="3.7109375" bestFit="1" customWidth="1"/>
    <col min="289" max="289" width="3.7109375" customWidth="1" outlineLevel="1"/>
    <col min="290" max="298" width="3.7109375" customWidth="1" outlineLevel="2"/>
    <col min="299" max="300" width="3.7109375" customWidth="1" outlineLevel="1"/>
    <col min="301" max="301" width="3.7109375" bestFit="1" customWidth="1"/>
    <col min="302" max="302" width="3.7109375" customWidth="1" outlineLevel="1"/>
    <col min="303" max="305" width="3.7109375" customWidth="1" outlineLevel="2"/>
    <col min="306" max="306" width="3.7109375" customWidth="1" outlineLevel="1"/>
    <col min="307" max="309" width="3.7109375" bestFit="1" customWidth="1"/>
  </cols>
  <sheetData>
    <row r="1" spans="1:309" ht="48" x14ac:dyDescent="0.25">
      <c r="A1" t="s">
        <v>84</v>
      </c>
      <c r="B1" s="18" t="s">
        <v>620</v>
      </c>
      <c r="D1" s="1" t="s">
        <v>623</v>
      </c>
      <c r="E1" s="1" t="s">
        <v>624</v>
      </c>
      <c r="F1" s="14" t="s">
        <v>316</v>
      </c>
      <c r="G1" s="14" t="s">
        <v>317</v>
      </c>
      <c r="H1" s="14" t="s">
        <v>318</v>
      </c>
      <c r="I1" s="14" t="s">
        <v>319</v>
      </c>
      <c r="J1" s="14" t="s">
        <v>320</v>
      </c>
      <c r="K1" s="14" t="s">
        <v>321</v>
      </c>
      <c r="L1" s="14" t="s">
        <v>322</v>
      </c>
      <c r="M1" s="14" t="s">
        <v>323</v>
      </c>
      <c r="N1" s="14" t="s">
        <v>324</v>
      </c>
      <c r="O1" s="14" t="s">
        <v>325</v>
      </c>
      <c r="P1" s="14" t="s">
        <v>326</v>
      </c>
      <c r="Q1" s="14" t="s">
        <v>327</v>
      </c>
      <c r="R1" s="14" t="s">
        <v>328</v>
      </c>
      <c r="S1" s="14" t="s">
        <v>329</v>
      </c>
      <c r="T1" s="14" t="s">
        <v>330</v>
      </c>
      <c r="U1" s="14" t="s">
        <v>331</v>
      </c>
      <c r="V1" s="14" t="s">
        <v>332</v>
      </c>
      <c r="W1" s="14" t="s">
        <v>333</v>
      </c>
      <c r="X1" s="14" t="s">
        <v>334</v>
      </c>
      <c r="Y1" s="14" t="s">
        <v>335</v>
      </c>
      <c r="Z1" s="14" t="s">
        <v>336</v>
      </c>
      <c r="AA1" s="14" t="s">
        <v>337</v>
      </c>
      <c r="AB1" s="14" t="s">
        <v>338</v>
      </c>
      <c r="AC1" s="14" t="s">
        <v>339</v>
      </c>
      <c r="AD1" s="14" t="s">
        <v>340</v>
      </c>
      <c r="AE1" s="14" t="s">
        <v>341</v>
      </c>
      <c r="AF1" s="14" t="s">
        <v>342</v>
      </c>
      <c r="AG1" s="14" t="s">
        <v>343</v>
      </c>
      <c r="AH1" s="14" t="s">
        <v>344</v>
      </c>
      <c r="AI1" s="14" t="s">
        <v>345</v>
      </c>
      <c r="AJ1" s="14" t="s">
        <v>346</v>
      </c>
      <c r="AK1" s="14" t="s">
        <v>347</v>
      </c>
      <c r="AL1" s="14" t="s">
        <v>348</v>
      </c>
      <c r="AM1" s="14" t="s">
        <v>349</v>
      </c>
      <c r="AN1" s="14" t="s">
        <v>350</v>
      </c>
      <c r="AO1" s="14" t="s">
        <v>351</v>
      </c>
      <c r="AP1" s="14" t="s">
        <v>352</v>
      </c>
      <c r="AQ1" s="14" t="s">
        <v>353</v>
      </c>
      <c r="AR1" s="14" t="s">
        <v>354</v>
      </c>
      <c r="AS1" s="14" t="s">
        <v>355</v>
      </c>
      <c r="AT1" s="14" t="s">
        <v>356</v>
      </c>
      <c r="AU1" s="14" t="s">
        <v>357</v>
      </c>
      <c r="AV1" s="14" t="s">
        <v>358</v>
      </c>
      <c r="AW1" s="14" t="s">
        <v>359</v>
      </c>
      <c r="AX1" s="14" t="s">
        <v>360</v>
      </c>
      <c r="AY1" s="14" t="s">
        <v>361</v>
      </c>
      <c r="AZ1" s="14" t="s">
        <v>362</v>
      </c>
      <c r="BA1" s="14" t="s">
        <v>363</v>
      </c>
      <c r="BB1" s="14" t="s">
        <v>364</v>
      </c>
      <c r="BC1" s="14" t="s">
        <v>365</v>
      </c>
      <c r="BD1" s="14" t="s">
        <v>366</v>
      </c>
      <c r="BE1" s="14" t="s">
        <v>367</v>
      </c>
      <c r="BF1" s="14" t="s">
        <v>368</v>
      </c>
      <c r="BG1" s="14" t="s">
        <v>369</v>
      </c>
      <c r="BH1" s="14" t="s">
        <v>370</v>
      </c>
      <c r="BI1" s="14" t="s">
        <v>371</v>
      </c>
      <c r="BJ1" s="14" t="s">
        <v>372</v>
      </c>
      <c r="BK1" s="14" t="s">
        <v>373</v>
      </c>
      <c r="BL1" s="14" t="s">
        <v>374</v>
      </c>
      <c r="BM1" s="14" t="s">
        <v>375</v>
      </c>
      <c r="BN1" s="14" t="s">
        <v>376</v>
      </c>
      <c r="BO1" s="14" t="s">
        <v>377</v>
      </c>
      <c r="BP1" s="14" t="s">
        <v>378</v>
      </c>
      <c r="BQ1" s="14" t="s">
        <v>379</v>
      </c>
      <c r="BR1" s="14" t="s">
        <v>380</v>
      </c>
      <c r="BS1" s="14" t="s">
        <v>381</v>
      </c>
      <c r="BT1" s="14" t="s">
        <v>382</v>
      </c>
      <c r="BU1" s="14" t="s">
        <v>383</v>
      </c>
      <c r="BV1" s="14" t="s">
        <v>384</v>
      </c>
      <c r="BW1" s="14" t="s">
        <v>385</v>
      </c>
      <c r="BX1" s="14" t="s">
        <v>386</v>
      </c>
      <c r="BY1" s="14" t="s">
        <v>387</v>
      </c>
      <c r="BZ1" s="14" t="s">
        <v>388</v>
      </c>
      <c r="CA1" s="14" t="s">
        <v>389</v>
      </c>
      <c r="CB1" s="14" t="s">
        <v>390</v>
      </c>
      <c r="CC1" s="14" t="s">
        <v>391</v>
      </c>
      <c r="CD1" s="14" t="s">
        <v>392</v>
      </c>
      <c r="CE1" s="14" t="s">
        <v>393</v>
      </c>
      <c r="CF1" s="14" t="s">
        <v>394</v>
      </c>
      <c r="CG1" s="14" t="s">
        <v>395</v>
      </c>
      <c r="CH1" s="14" t="s">
        <v>396</v>
      </c>
      <c r="CI1" s="14" t="s">
        <v>397</v>
      </c>
      <c r="CJ1" s="14" t="s">
        <v>398</v>
      </c>
      <c r="CK1" s="14" t="s">
        <v>399</v>
      </c>
      <c r="CL1" s="14" t="s">
        <v>400</v>
      </c>
      <c r="CM1" s="14" t="s">
        <v>401</v>
      </c>
      <c r="CN1" s="14" t="s">
        <v>402</v>
      </c>
      <c r="CO1" s="14" t="s">
        <v>403</v>
      </c>
      <c r="CP1" s="14" t="s">
        <v>404</v>
      </c>
      <c r="CQ1" s="14" t="s">
        <v>405</v>
      </c>
      <c r="CR1" s="14" t="s">
        <v>406</v>
      </c>
      <c r="CS1" s="14" t="s">
        <v>407</v>
      </c>
      <c r="CT1" s="14" t="s">
        <v>408</v>
      </c>
      <c r="CU1" s="14" t="s">
        <v>409</v>
      </c>
      <c r="CV1" s="14" t="s">
        <v>410</v>
      </c>
      <c r="CW1" s="14" t="s">
        <v>411</v>
      </c>
      <c r="CX1" s="14" t="s">
        <v>412</v>
      </c>
      <c r="CY1" s="14" t="s">
        <v>413</v>
      </c>
      <c r="CZ1" s="14" t="s">
        <v>414</v>
      </c>
      <c r="DA1" s="14" t="s">
        <v>415</v>
      </c>
      <c r="DB1" s="14" t="s">
        <v>416</v>
      </c>
      <c r="DC1" s="14" t="s">
        <v>417</v>
      </c>
      <c r="DD1" s="14" t="s">
        <v>418</v>
      </c>
      <c r="DE1" s="14" t="s">
        <v>419</v>
      </c>
      <c r="DF1" s="14" t="s">
        <v>420</v>
      </c>
      <c r="DG1" s="14" t="s">
        <v>421</v>
      </c>
      <c r="DH1" s="14" t="s">
        <v>422</v>
      </c>
      <c r="DI1" s="14" t="s">
        <v>423</v>
      </c>
      <c r="DJ1" s="14" t="s">
        <v>424</v>
      </c>
      <c r="DK1" s="14" t="s">
        <v>425</v>
      </c>
      <c r="DL1" s="14" t="s">
        <v>426</v>
      </c>
      <c r="DM1" s="14" t="s">
        <v>427</v>
      </c>
      <c r="DN1" s="14" t="s">
        <v>428</v>
      </c>
      <c r="DO1" s="14" t="s">
        <v>429</v>
      </c>
      <c r="DP1" s="14" t="s">
        <v>430</v>
      </c>
      <c r="DQ1" s="14" t="s">
        <v>431</v>
      </c>
      <c r="DR1" s="14" t="s">
        <v>432</v>
      </c>
      <c r="DS1" s="14" t="s">
        <v>433</v>
      </c>
      <c r="DT1" s="14" t="s">
        <v>434</v>
      </c>
      <c r="DU1" s="14" t="s">
        <v>435</v>
      </c>
      <c r="DV1" s="14" t="s">
        <v>436</v>
      </c>
      <c r="DW1" s="14" t="s">
        <v>437</v>
      </c>
      <c r="DX1" s="14" t="s">
        <v>438</v>
      </c>
      <c r="DY1" s="14" t="s">
        <v>439</v>
      </c>
      <c r="DZ1" s="14" t="s">
        <v>440</v>
      </c>
      <c r="EA1" s="14" t="s">
        <v>441</v>
      </c>
      <c r="EB1" s="14" t="s">
        <v>442</v>
      </c>
      <c r="EC1" s="14" t="s">
        <v>443</v>
      </c>
      <c r="ED1" s="14" t="s">
        <v>444</v>
      </c>
      <c r="EE1" s="14" t="s">
        <v>445</v>
      </c>
      <c r="EF1" s="14" t="s">
        <v>446</v>
      </c>
      <c r="EG1" s="14" t="s">
        <v>447</v>
      </c>
      <c r="EH1" s="14" t="s">
        <v>448</v>
      </c>
      <c r="EI1" s="14" t="s">
        <v>449</v>
      </c>
      <c r="EJ1" s="14" t="s">
        <v>450</v>
      </c>
      <c r="EK1" s="14" t="s">
        <v>451</v>
      </c>
      <c r="EL1" s="14" t="s">
        <v>452</v>
      </c>
      <c r="EM1" s="14" t="s">
        <v>453</v>
      </c>
      <c r="EN1" s="14" t="s">
        <v>454</v>
      </c>
      <c r="EO1" s="14" t="s">
        <v>455</v>
      </c>
      <c r="EP1" s="14" t="s">
        <v>456</v>
      </c>
      <c r="EQ1" s="14" t="s">
        <v>457</v>
      </c>
      <c r="ER1" s="14" t="s">
        <v>458</v>
      </c>
      <c r="ES1" s="14" t="s">
        <v>459</v>
      </c>
      <c r="ET1" s="14" t="s">
        <v>460</v>
      </c>
      <c r="EU1" s="14" t="s">
        <v>461</v>
      </c>
      <c r="EV1" s="14" t="s">
        <v>462</v>
      </c>
      <c r="EW1" s="14" t="s">
        <v>463</v>
      </c>
      <c r="EX1" s="14" t="s">
        <v>464</v>
      </c>
      <c r="EY1" s="14" t="s">
        <v>465</v>
      </c>
      <c r="EZ1" s="14" t="s">
        <v>466</v>
      </c>
      <c r="FA1" s="14" t="s">
        <v>467</v>
      </c>
      <c r="FB1" s="14" t="s">
        <v>468</v>
      </c>
      <c r="FC1" s="14" t="s">
        <v>469</v>
      </c>
      <c r="FD1" s="14" t="s">
        <v>470</v>
      </c>
      <c r="FE1" s="14" t="s">
        <v>471</v>
      </c>
      <c r="FF1" s="14" t="s">
        <v>472</v>
      </c>
      <c r="FG1" s="14" t="s">
        <v>473</v>
      </c>
      <c r="FH1" s="14" t="s">
        <v>474</v>
      </c>
      <c r="FI1" s="14" t="s">
        <v>475</v>
      </c>
      <c r="FJ1" s="14" t="s">
        <v>476</v>
      </c>
      <c r="FK1" s="14" t="s">
        <v>477</v>
      </c>
      <c r="FL1" s="14" t="s">
        <v>478</v>
      </c>
      <c r="FM1" s="14" t="s">
        <v>479</v>
      </c>
      <c r="FN1" s="14" t="s">
        <v>480</v>
      </c>
      <c r="FO1" s="14" t="s">
        <v>481</v>
      </c>
      <c r="FP1" s="14" t="s">
        <v>482</v>
      </c>
      <c r="FQ1" s="14" t="s">
        <v>483</v>
      </c>
      <c r="FR1" s="14" t="s">
        <v>484</v>
      </c>
      <c r="FS1" s="14" t="s">
        <v>485</v>
      </c>
      <c r="FT1" s="14" t="s">
        <v>486</v>
      </c>
      <c r="FU1" s="14" t="s">
        <v>487</v>
      </c>
      <c r="FV1" s="14" t="s">
        <v>488</v>
      </c>
      <c r="FW1" s="14" t="s">
        <v>489</v>
      </c>
      <c r="FX1" s="14" t="s">
        <v>490</v>
      </c>
      <c r="FY1" s="14" t="s">
        <v>491</v>
      </c>
      <c r="FZ1" s="14" t="s">
        <v>492</v>
      </c>
      <c r="GA1" s="14" t="s">
        <v>493</v>
      </c>
      <c r="GB1" s="14" t="s">
        <v>494</v>
      </c>
      <c r="GC1" s="14" t="s">
        <v>495</v>
      </c>
      <c r="GD1" s="14" t="s">
        <v>496</v>
      </c>
      <c r="GE1" s="14" t="s">
        <v>497</v>
      </c>
      <c r="GF1" s="14" t="s">
        <v>498</v>
      </c>
      <c r="GG1" s="14" t="s">
        <v>499</v>
      </c>
      <c r="GH1" s="14" t="s">
        <v>500</v>
      </c>
      <c r="GI1" s="14" t="s">
        <v>501</v>
      </c>
      <c r="GJ1" s="14" t="s">
        <v>502</v>
      </c>
      <c r="GK1" s="14" t="s">
        <v>503</v>
      </c>
      <c r="GL1" s="14" t="s">
        <v>504</v>
      </c>
      <c r="GM1" s="14" t="s">
        <v>505</v>
      </c>
      <c r="GN1" s="14" t="s">
        <v>506</v>
      </c>
      <c r="GO1" s="14" t="s">
        <v>507</v>
      </c>
      <c r="GP1" s="14" t="s">
        <v>508</v>
      </c>
      <c r="GQ1" s="14" t="s">
        <v>509</v>
      </c>
      <c r="GR1" s="14" t="s">
        <v>510</v>
      </c>
      <c r="GS1" s="14" t="s">
        <v>511</v>
      </c>
      <c r="GT1" s="14" t="s">
        <v>512</v>
      </c>
      <c r="GU1" s="14" t="s">
        <v>513</v>
      </c>
      <c r="GV1" s="14" t="s">
        <v>514</v>
      </c>
      <c r="GW1" s="14" t="s">
        <v>515</v>
      </c>
      <c r="GX1" s="14" t="s">
        <v>516</v>
      </c>
      <c r="GY1" s="14" t="s">
        <v>517</v>
      </c>
      <c r="GZ1" s="14" t="s">
        <v>518</v>
      </c>
      <c r="HA1" s="14" t="s">
        <v>519</v>
      </c>
      <c r="HB1" s="14" t="s">
        <v>520</v>
      </c>
      <c r="HC1" s="14" t="s">
        <v>521</v>
      </c>
      <c r="HD1" s="14" t="s">
        <v>522</v>
      </c>
      <c r="HE1" s="14" t="s">
        <v>523</v>
      </c>
      <c r="HF1" s="14" t="s">
        <v>524</v>
      </c>
      <c r="HG1" s="14" t="s">
        <v>525</v>
      </c>
      <c r="HH1" s="14" t="s">
        <v>526</v>
      </c>
      <c r="HI1" s="14" t="s">
        <v>527</v>
      </c>
      <c r="HJ1" s="14" t="s">
        <v>528</v>
      </c>
      <c r="HK1" s="14" t="s">
        <v>529</v>
      </c>
      <c r="HL1" s="14" t="s">
        <v>530</v>
      </c>
      <c r="HM1" s="14" t="s">
        <v>531</v>
      </c>
      <c r="HN1" s="14" t="s">
        <v>532</v>
      </c>
      <c r="HO1" s="14" t="s">
        <v>533</v>
      </c>
      <c r="HP1" s="14" t="s">
        <v>534</v>
      </c>
      <c r="HQ1" s="14" t="s">
        <v>535</v>
      </c>
      <c r="HR1" s="14" t="s">
        <v>536</v>
      </c>
      <c r="HS1" s="14" t="s">
        <v>537</v>
      </c>
      <c r="HT1" s="14" t="s">
        <v>538</v>
      </c>
      <c r="HU1" s="14" t="s">
        <v>539</v>
      </c>
      <c r="HV1" s="14" t="s">
        <v>540</v>
      </c>
      <c r="HW1" s="14" t="s">
        <v>541</v>
      </c>
      <c r="HX1" s="14" t="s">
        <v>542</v>
      </c>
      <c r="HY1" s="14" t="s">
        <v>543</v>
      </c>
      <c r="HZ1" s="14" t="s">
        <v>544</v>
      </c>
      <c r="IA1" s="14" t="s">
        <v>545</v>
      </c>
      <c r="IB1" s="14" t="s">
        <v>546</v>
      </c>
      <c r="IC1" s="14" t="s">
        <v>547</v>
      </c>
      <c r="ID1" s="14" t="s">
        <v>548</v>
      </c>
      <c r="IE1" s="14" t="s">
        <v>549</v>
      </c>
      <c r="IF1" s="14" t="s">
        <v>550</v>
      </c>
      <c r="IG1" s="14" t="s">
        <v>551</v>
      </c>
      <c r="IH1" s="14" t="s">
        <v>552</v>
      </c>
      <c r="II1" s="14" t="s">
        <v>553</v>
      </c>
      <c r="IJ1" s="14" t="s">
        <v>554</v>
      </c>
      <c r="IK1" s="14" t="s">
        <v>555</v>
      </c>
      <c r="IL1" s="14" t="s">
        <v>556</v>
      </c>
      <c r="IM1" s="14" t="s">
        <v>557</v>
      </c>
      <c r="IN1" s="14" t="s">
        <v>558</v>
      </c>
      <c r="IO1" s="14" t="s">
        <v>559</v>
      </c>
      <c r="IP1" s="14" t="s">
        <v>560</v>
      </c>
      <c r="IQ1" s="14" t="s">
        <v>561</v>
      </c>
      <c r="IR1" s="14" t="s">
        <v>562</v>
      </c>
      <c r="IS1" s="14" t="s">
        <v>563</v>
      </c>
      <c r="IT1" s="14" t="s">
        <v>564</v>
      </c>
      <c r="IU1" s="14" t="s">
        <v>565</v>
      </c>
      <c r="IV1" s="14" t="s">
        <v>566</v>
      </c>
      <c r="IW1" s="14" t="s">
        <v>567</v>
      </c>
      <c r="IX1" s="14" t="s">
        <v>568</v>
      </c>
      <c r="IY1" s="14" t="s">
        <v>569</v>
      </c>
      <c r="IZ1" s="14" t="s">
        <v>570</v>
      </c>
      <c r="JA1" s="14" t="s">
        <v>571</v>
      </c>
      <c r="JB1" s="14" t="s">
        <v>572</v>
      </c>
      <c r="JC1" s="14" t="s">
        <v>573</v>
      </c>
      <c r="JD1" s="14" t="s">
        <v>574</v>
      </c>
      <c r="JE1" s="14" t="s">
        <v>575</v>
      </c>
      <c r="JF1" s="14" t="s">
        <v>576</v>
      </c>
      <c r="JG1" s="14" t="s">
        <v>577</v>
      </c>
      <c r="JH1" s="14" t="s">
        <v>578</v>
      </c>
      <c r="JI1" s="14" t="s">
        <v>579</v>
      </c>
      <c r="JJ1" s="14" t="s">
        <v>580</v>
      </c>
      <c r="JK1" s="14" t="s">
        <v>581</v>
      </c>
      <c r="JL1" s="14" t="s">
        <v>582</v>
      </c>
      <c r="JM1" s="14" t="s">
        <v>583</v>
      </c>
      <c r="JN1" s="14" t="s">
        <v>584</v>
      </c>
      <c r="JO1" s="14" t="s">
        <v>585</v>
      </c>
      <c r="JP1" s="14" t="s">
        <v>586</v>
      </c>
      <c r="JQ1" s="14" t="s">
        <v>587</v>
      </c>
      <c r="JR1" s="14" t="s">
        <v>588</v>
      </c>
      <c r="JS1" s="14" t="s">
        <v>589</v>
      </c>
      <c r="JT1" s="14" t="s">
        <v>590</v>
      </c>
      <c r="JU1" s="14" t="s">
        <v>591</v>
      </c>
      <c r="JV1" s="14" t="s">
        <v>592</v>
      </c>
      <c r="JW1" s="14" t="s">
        <v>593</v>
      </c>
      <c r="JX1" s="14" t="s">
        <v>594</v>
      </c>
      <c r="JY1" s="14" t="s">
        <v>595</v>
      </c>
      <c r="JZ1" s="14" t="s">
        <v>596</v>
      </c>
      <c r="KA1" s="14" t="s">
        <v>597</v>
      </c>
      <c r="KB1" s="14" t="s">
        <v>598</v>
      </c>
      <c r="KC1" s="14" t="s">
        <v>599</v>
      </c>
      <c r="KD1" s="14" t="s">
        <v>600</v>
      </c>
      <c r="KE1" s="14" t="s">
        <v>601</v>
      </c>
      <c r="KF1" s="14" t="s">
        <v>602</v>
      </c>
      <c r="KG1" s="14" t="s">
        <v>603</v>
      </c>
      <c r="KH1" s="14" t="s">
        <v>604</v>
      </c>
      <c r="KI1" s="14" t="s">
        <v>605</v>
      </c>
      <c r="KJ1" s="14" t="s">
        <v>606</v>
      </c>
      <c r="KK1" s="14" t="s">
        <v>607</v>
      </c>
      <c r="KL1" s="14" t="s">
        <v>608</v>
      </c>
      <c r="KM1" s="14" t="s">
        <v>609</v>
      </c>
      <c r="KN1" s="14" t="s">
        <v>610</v>
      </c>
      <c r="KO1" s="14" t="s">
        <v>611</v>
      </c>
      <c r="KP1" s="14" t="s">
        <v>612</v>
      </c>
      <c r="KQ1" s="14" t="s">
        <v>613</v>
      </c>
      <c r="KR1" s="14" t="s">
        <v>614</v>
      </c>
      <c r="KS1" s="14" t="s">
        <v>615</v>
      </c>
      <c r="KT1" s="14" t="s">
        <v>616</v>
      </c>
      <c r="KU1" s="14" t="s">
        <v>617</v>
      </c>
      <c r="KV1" s="14" t="s">
        <v>618</v>
      </c>
      <c r="KW1" s="14" t="s">
        <v>619</v>
      </c>
    </row>
    <row r="2" spans="1:309" x14ac:dyDescent="0.25">
      <c r="A2" t="s">
        <v>623</v>
      </c>
      <c r="B2" s="18"/>
      <c r="C2" t="s">
        <v>621</v>
      </c>
    </row>
    <row r="3" spans="1:309" ht="15" customHeight="1" x14ac:dyDescent="0.25">
      <c r="A3" t="s">
        <v>624</v>
      </c>
      <c r="B3" s="18"/>
      <c r="C3" t="s">
        <v>622</v>
      </c>
    </row>
    <row r="4" spans="1:309" x14ac:dyDescent="0.25">
      <c r="A4">
        <v>1</v>
      </c>
      <c r="B4" s="18"/>
      <c r="C4" t="s">
        <v>104</v>
      </c>
      <c r="D4">
        <v>4</v>
      </c>
      <c r="E4">
        <v>9</v>
      </c>
    </row>
    <row r="5" spans="1:309" x14ac:dyDescent="0.25">
      <c r="A5">
        <v>2</v>
      </c>
      <c r="B5" s="18"/>
      <c r="C5" t="s">
        <v>6</v>
      </c>
      <c r="D5">
        <v>4</v>
      </c>
      <c r="F5">
        <v>8</v>
      </c>
    </row>
    <row r="6" spans="1:309" x14ac:dyDescent="0.25">
      <c r="A6">
        <v>3</v>
      </c>
      <c r="B6" s="18"/>
      <c r="C6" t="s">
        <v>625</v>
      </c>
      <c r="D6">
        <v>5</v>
      </c>
      <c r="G6">
        <v>8</v>
      </c>
    </row>
    <row r="7" spans="1:309" x14ac:dyDescent="0.25">
      <c r="A7">
        <v>4</v>
      </c>
      <c r="B7" s="18"/>
      <c r="C7" t="s">
        <v>7</v>
      </c>
      <c r="D7">
        <v>4</v>
      </c>
      <c r="H7">
        <v>10</v>
      </c>
    </row>
    <row r="8" spans="1:309" x14ac:dyDescent="0.25">
      <c r="A8">
        <v>4</v>
      </c>
      <c r="B8" s="18"/>
      <c r="C8" t="s">
        <v>8</v>
      </c>
      <c r="D8">
        <v>2</v>
      </c>
      <c r="H8">
        <v>9</v>
      </c>
    </row>
    <row r="9" spans="1:309" x14ac:dyDescent="0.25">
      <c r="A9">
        <v>4</v>
      </c>
      <c r="C9" t="s">
        <v>9</v>
      </c>
      <c r="D9">
        <v>3</v>
      </c>
      <c r="H9">
        <v>8</v>
      </c>
    </row>
    <row r="10" spans="1:309" x14ac:dyDescent="0.25">
      <c r="A10">
        <v>4</v>
      </c>
      <c r="C10" t="s">
        <v>105</v>
      </c>
      <c r="D10">
        <v>6</v>
      </c>
      <c r="H10">
        <v>9</v>
      </c>
    </row>
    <row r="11" spans="1:309" x14ac:dyDescent="0.25">
      <c r="A11">
        <v>4</v>
      </c>
      <c r="C11" t="s">
        <v>106</v>
      </c>
      <c r="D11">
        <v>2</v>
      </c>
      <c r="H11">
        <v>7</v>
      </c>
    </row>
    <row r="12" spans="1:309" x14ac:dyDescent="0.25">
      <c r="A12">
        <v>3</v>
      </c>
      <c r="C12" t="s">
        <v>10</v>
      </c>
      <c r="D12">
        <v>2</v>
      </c>
      <c r="G12">
        <v>7</v>
      </c>
    </row>
    <row r="13" spans="1:309" x14ac:dyDescent="0.25">
      <c r="A13">
        <v>4</v>
      </c>
      <c r="C13" t="s">
        <v>107</v>
      </c>
      <c r="D13">
        <v>2</v>
      </c>
      <c r="N13">
        <v>9</v>
      </c>
    </row>
    <row r="14" spans="1:309" x14ac:dyDescent="0.25">
      <c r="A14">
        <v>4</v>
      </c>
      <c r="C14" t="s">
        <v>108</v>
      </c>
      <c r="D14">
        <v>2</v>
      </c>
      <c r="N14">
        <v>9</v>
      </c>
    </row>
    <row r="15" spans="1:309" x14ac:dyDescent="0.25">
      <c r="A15">
        <v>4</v>
      </c>
      <c r="C15" t="s">
        <v>109</v>
      </c>
      <c r="D15">
        <v>3</v>
      </c>
      <c r="N15">
        <v>9</v>
      </c>
    </row>
    <row r="16" spans="1:309" x14ac:dyDescent="0.25">
      <c r="A16">
        <v>4</v>
      </c>
      <c r="C16" t="s">
        <v>110</v>
      </c>
      <c r="D16">
        <v>1</v>
      </c>
      <c r="N16">
        <v>8</v>
      </c>
    </row>
    <row r="17" spans="1:24" x14ac:dyDescent="0.25">
      <c r="A17">
        <v>4</v>
      </c>
      <c r="C17" t="s">
        <v>111</v>
      </c>
      <c r="D17">
        <v>3</v>
      </c>
      <c r="N17">
        <v>7</v>
      </c>
    </row>
    <row r="18" spans="1:24" x14ac:dyDescent="0.25">
      <c r="A18">
        <v>4</v>
      </c>
      <c r="C18" t="s">
        <v>112</v>
      </c>
      <c r="D18">
        <v>2</v>
      </c>
      <c r="N18">
        <v>8</v>
      </c>
    </row>
    <row r="19" spans="1:24" x14ac:dyDescent="0.25">
      <c r="A19">
        <v>4</v>
      </c>
      <c r="C19" t="s">
        <v>113</v>
      </c>
      <c r="D19">
        <v>3</v>
      </c>
      <c r="N19">
        <v>6</v>
      </c>
    </row>
    <row r="20" spans="1:24" x14ac:dyDescent="0.25">
      <c r="A20">
        <v>4</v>
      </c>
      <c r="C20" t="s">
        <v>114</v>
      </c>
      <c r="D20">
        <v>7</v>
      </c>
      <c r="N20">
        <v>6</v>
      </c>
    </row>
    <row r="21" spans="1:24" x14ac:dyDescent="0.25">
      <c r="A21">
        <v>3</v>
      </c>
      <c r="C21" t="s">
        <v>11</v>
      </c>
      <c r="D21">
        <v>3</v>
      </c>
      <c r="G21">
        <v>10</v>
      </c>
    </row>
    <row r="22" spans="1:24" x14ac:dyDescent="0.25">
      <c r="A22">
        <v>4</v>
      </c>
      <c r="C22" t="s">
        <v>115</v>
      </c>
      <c r="D22">
        <v>3</v>
      </c>
      <c r="W22">
        <v>10</v>
      </c>
    </row>
    <row r="23" spans="1:24" x14ac:dyDescent="0.25">
      <c r="A23">
        <v>5</v>
      </c>
      <c r="C23" t="s">
        <v>116</v>
      </c>
      <c r="D23">
        <v>5</v>
      </c>
      <c r="X23">
        <v>9</v>
      </c>
    </row>
    <row r="24" spans="1:24" x14ac:dyDescent="0.25">
      <c r="A24">
        <v>5</v>
      </c>
      <c r="C24" t="s">
        <v>117</v>
      </c>
      <c r="D24">
        <v>3</v>
      </c>
      <c r="X24">
        <v>10</v>
      </c>
    </row>
    <row r="25" spans="1:24" x14ac:dyDescent="0.25">
      <c r="A25">
        <v>5</v>
      </c>
      <c r="C25" t="s">
        <v>118</v>
      </c>
      <c r="D25">
        <v>1</v>
      </c>
      <c r="X25">
        <v>8</v>
      </c>
    </row>
    <row r="26" spans="1:24" x14ac:dyDescent="0.25">
      <c r="A26">
        <v>5</v>
      </c>
      <c r="C26" t="s">
        <v>119</v>
      </c>
      <c r="D26">
        <v>2</v>
      </c>
      <c r="X26">
        <v>8</v>
      </c>
    </row>
    <row r="27" spans="1:24" x14ac:dyDescent="0.25">
      <c r="A27">
        <v>5</v>
      </c>
      <c r="C27" t="s">
        <v>120</v>
      </c>
      <c r="D27">
        <v>4</v>
      </c>
      <c r="X27">
        <v>9</v>
      </c>
    </row>
    <row r="28" spans="1:24" x14ac:dyDescent="0.25">
      <c r="A28">
        <v>5</v>
      </c>
      <c r="C28" t="s">
        <v>121</v>
      </c>
      <c r="D28">
        <v>4</v>
      </c>
      <c r="X28">
        <v>9</v>
      </c>
    </row>
    <row r="29" spans="1:24" x14ac:dyDescent="0.25">
      <c r="A29">
        <v>5</v>
      </c>
      <c r="C29" t="s">
        <v>122</v>
      </c>
      <c r="D29">
        <v>5</v>
      </c>
      <c r="X29">
        <v>10</v>
      </c>
    </row>
    <row r="30" spans="1:24" x14ac:dyDescent="0.25">
      <c r="A30">
        <v>5</v>
      </c>
      <c r="C30" t="s">
        <v>123</v>
      </c>
      <c r="D30">
        <v>6</v>
      </c>
      <c r="X30">
        <v>10</v>
      </c>
    </row>
    <row r="31" spans="1:24" x14ac:dyDescent="0.25">
      <c r="A31">
        <v>5</v>
      </c>
      <c r="C31" t="s">
        <v>124</v>
      </c>
      <c r="D31">
        <v>3</v>
      </c>
      <c r="X31">
        <v>7</v>
      </c>
    </row>
    <row r="32" spans="1:24" x14ac:dyDescent="0.25">
      <c r="A32">
        <v>4</v>
      </c>
      <c r="C32" t="s">
        <v>125</v>
      </c>
      <c r="D32">
        <v>3</v>
      </c>
      <c r="W32">
        <v>10</v>
      </c>
    </row>
    <row r="33" spans="1:46" x14ac:dyDescent="0.25">
      <c r="A33">
        <v>5</v>
      </c>
      <c r="C33" t="s">
        <v>126</v>
      </c>
      <c r="D33">
        <v>3</v>
      </c>
      <c r="AH33">
        <v>10</v>
      </c>
    </row>
    <row r="34" spans="1:46" x14ac:dyDescent="0.25">
      <c r="A34">
        <v>5</v>
      </c>
      <c r="C34" t="s">
        <v>127</v>
      </c>
      <c r="D34">
        <v>1</v>
      </c>
      <c r="AH34">
        <v>10</v>
      </c>
    </row>
    <row r="35" spans="1:46" x14ac:dyDescent="0.25">
      <c r="A35">
        <v>5</v>
      </c>
      <c r="C35" t="s">
        <v>128</v>
      </c>
      <c r="D35">
        <v>1</v>
      </c>
      <c r="AH35">
        <v>9</v>
      </c>
    </row>
    <row r="36" spans="1:46" x14ac:dyDescent="0.25">
      <c r="A36">
        <v>5</v>
      </c>
      <c r="C36" t="s">
        <v>129</v>
      </c>
      <c r="D36">
        <v>8</v>
      </c>
      <c r="AH36">
        <v>8</v>
      </c>
    </row>
    <row r="37" spans="1:46" x14ac:dyDescent="0.25">
      <c r="A37">
        <v>5</v>
      </c>
      <c r="C37" t="s">
        <v>130</v>
      </c>
      <c r="D37">
        <v>7</v>
      </c>
      <c r="AH37">
        <v>8</v>
      </c>
    </row>
    <row r="38" spans="1:46" x14ac:dyDescent="0.25">
      <c r="A38">
        <v>5</v>
      </c>
      <c r="C38" t="s">
        <v>131</v>
      </c>
      <c r="D38">
        <v>5</v>
      </c>
      <c r="AH38">
        <v>8</v>
      </c>
    </row>
    <row r="39" spans="1:46" x14ac:dyDescent="0.25">
      <c r="A39">
        <v>5</v>
      </c>
      <c r="C39" t="s">
        <v>132</v>
      </c>
      <c r="D39">
        <v>4</v>
      </c>
      <c r="AH39">
        <v>7</v>
      </c>
    </row>
    <row r="40" spans="1:46" x14ac:dyDescent="0.25">
      <c r="A40">
        <v>5</v>
      </c>
      <c r="C40" t="s">
        <v>133</v>
      </c>
      <c r="D40">
        <v>2</v>
      </c>
      <c r="AH40">
        <v>8</v>
      </c>
    </row>
    <row r="41" spans="1:46" x14ac:dyDescent="0.25">
      <c r="A41">
        <v>5</v>
      </c>
      <c r="C41" t="s">
        <v>134</v>
      </c>
      <c r="D41">
        <v>2</v>
      </c>
      <c r="AH41">
        <v>7</v>
      </c>
    </row>
    <row r="42" spans="1:46" x14ac:dyDescent="0.25">
      <c r="A42">
        <v>5</v>
      </c>
      <c r="C42" t="s">
        <v>135</v>
      </c>
      <c r="D42">
        <v>3</v>
      </c>
      <c r="AH42">
        <v>10</v>
      </c>
    </row>
    <row r="43" spans="1:46" x14ac:dyDescent="0.25">
      <c r="A43">
        <v>5</v>
      </c>
      <c r="C43" t="s">
        <v>136</v>
      </c>
      <c r="D43">
        <v>2</v>
      </c>
      <c r="AH43">
        <v>7</v>
      </c>
    </row>
    <row r="44" spans="1:46" x14ac:dyDescent="0.25">
      <c r="A44">
        <v>4</v>
      </c>
      <c r="C44" t="s">
        <v>12</v>
      </c>
      <c r="D44">
        <v>3</v>
      </c>
      <c r="W44">
        <v>10</v>
      </c>
    </row>
    <row r="45" spans="1:46" x14ac:dyDescent="0.25">
      <c r="A45">
        <v>5</v>
      </c>
      <c r="C45" t="s">
        <v>137</v>
      </c>
      <c r="D45">
        <v>4</v>
      </c>
      <c r="AT45">
        <v>10</v>
      </c>
    </row>
    <row r="46" spans="1:46" x14ac:dyDescent="0.25">
      <c r="A46">
        <v>5</v>
      </c>
      <c r="C46" t="s">
        <v>138</v>
      </c>
      <c r="D46">
        <v>4</v>
      </c>
      <c r="AT46">
        <v>10</v>
      </c>
    </row>
    <row r="47" spans="1:46" x14ac:dyDescent="0.25">
      <c r="A47">
        <v>5</v>
      </c>
      <c r="C47" t="s">
        <v>139</v>
      </c>
      <c r="D47">
        <v>3</v>
      </c>
      <c r="AT47">
        <v>9</v>
      </c>
    </row>
    <row r="48" spans="1:46" x14ac:dyDescent="0.25">
      <c r="A48">
        <v>5</v>
      </c>
      <c r="C48" t="s">
        <v>140</v>
      </c>
      <c r="D48">
        <v>4</v>
      </c>
      <c r="AT48">
        <v>10</v>
      </c>
    </row>
    <row r="49" spans="1:62" x14ac:dyDescent="0.25">
      <c r="A49">
        <v>5</v>
      </c>
      <c r="C49" t="s">
        <v>141</v>
      </c>
      <c r="D49">
        <v>3</v>
      </c>
      <c r="AT49">
        <v>7</v>
      </c>
    </row>
    <row r="50" spans="1:62" x14ac:dyDescent="0.25">
      <c r="A50">
        <v>4</v>
      </c>
      <c r="C50" t="s">
        <v>13</v>
      </c>
      <c r="D50">
        <v>7</v>
      </c>
      <c r="W50">
        <v>8</v>
      </c>
    </row>
    <row r="51" spans="1:62" x14ac:dyDescent="0.25">
      <c r="A51">
        <v>5</v>
      </c>
      <c r="C51" t="s">
        <v>142</v>
      </c>
      <c r="D51">
        <v>5</v>
      </c>
      <c r="AZ51">
        <v>8</v>
      </c>
    </row>
    <row r="52" spans="1:62" x14ac:dyDescent="0.25">
      <c r="A52">
        <v>5</v>
      </c>
      <c r="C52" t="s">
        <v>143</v>
      </c>
      <c r="D52">
        <v>3</v>
      </c>
      <c r="AZ52">
        <v>7</v>
      </c>
    </row>
    <row r="53" spans="1:62" x14ac:dyDescent="0.25">
      <c r="A53">
        <v>5</v>
      </c>
      <c r="C53" t="s">
        <v>144</v>
      </c>
      <c r="AZ53">
        <v>8</v>
      </c>
    </row>
    <row r="54" spans="1:62" x14ac:dyDescent="0.25">
      <c r="A54">
        <v>5</v>
      </c>
      <c r="C54" t="s">
        <v>145</v>
      </c>
      <c r="D54">
        <v>3</v>
      </c>
      <c r="AZ54">
        <v>10</v>
      </c>
    </row>
    <row r="55" spans="1:62" x14ac:dyDescent="0.25">
      <c r="A55">
        <v>5</v>
      </c>
      <c r="C55" t="s">
        <v>146</v>
      </c>
      <c r="D55">
        <v>2</v>
      </c>
    </row>
    <row r="56" spans="1:62" x14ac:dyDescent="0.25">
      <c r="A56">
        <v>4</v>
      </c>
      <c r="C56" t="s">
        <v>14</v>
      </c>
      <c r="D56">
        <v>2</v>
      </c>
      <c r="W56">
        <v>10</v>
      </c>
    </row>
    <row r="57" spans="1:62" x14ac:dyDescent="0.25">
      <c r="A57">
        <v>5</v>
      </c>
      <c r="C57" t="s">
        <v>147</v>
      </c>
      <c r="D57">
        <v>4</v>
      </c>
      <c r="BF57">
        <v>8</v>
      </c>
    </row>
    <row r="58" spans="1:62" x14ac:dyDescent="0.25">
      <c r="A58">
        <v>5</v>
      </c>
      <c r="C58" t="s">
        <v>148</v>
      </c>
      <c r="D58">
        <v>3</v>
      </c>
      <c r="BF58">
        <v>10</v>
      </c>
    </row>
    <row r="59" spans="1:62" x14ac:dyDescent="0.25">
      <c r="A59">
        <v>5</v>
      </c>
      <c r="C59" t="s">
        <v>149</v>
      </c>
      <c r="D59">
        <v>3</v>
      </c>
      <c r="BF59">
        <v>7</v>
      </c>
    </row>
    <row r="60" spans="1:62" x14ac:dyDescent="0.25">
      <c r="A60">
        <v>4</v>
      </c>
      <c r="C60" t="s">
        <v>15</v>
      </c>
      <c r="D60">
        <v>2</v>
      </c>
      <c r="W60">
        <v>7</v>
      </c>
    </row>
    <row r="61" spans="1:62" x14ac:dyDescent="0.25">
      <c r="A61">
        <v>5</v>
      </c>
      <c r="C61" t="s">
        <v>150</v>
      </c>
      <c r="D61">
        <v>4</v>
      </c>
      <c r="BJ61">
        <v>8</v>
      </c>
    </row>
    <row r="62" spans="1:62" x14ac:dyDescent="0.25">
      <c r="A62">
        <v>5</v>
      </c>
      <c r="C62" t="s">
        <v>151</v>
      </c>
      <c r="D62">
        <v>3</v>
      </c>
      <c r="BJ62">
        <v>10</v>
      </c>
    </row>
    <row r="63" spans="1:62" x14ac:dyDescent="0.25">
      <c r="A63">
        <v>5</v>
      </c>
      <c r="C63" t="s">
        <v>152</v>
      </c>
      <c r="D63">
        <v>3</v>
      </c>
      <c r="BJ63">
        <v>7</v>
      </c>
    </row>
    <row r="64" spans="1:62" x14ac:dyDescent="0.25">
      <c r="A64">
        <v>4</v>
      </c>
      <c r="C64" t="s">
        <v>16</v>
      </c>
      <c r="D64">
        <v>2</v>
      </c>
      <c r="W64">
        <v>7</v>
      </c>
    </row>
    <row r="65" spans="1:77" x14ac:dyDescent="0.25">
      <c r="A65">
        <v>5</v>
      </c>
      <c r="C65" t="s">
        <v>153</v>
      </c>
      <c r="D65">
        <v>2</v>
      </c>
      <c r="BN65">
        <v>8</v>
      </c>
    </row>
    <row r="66" spans="1:77" x14ac:dyDescent="0.25">
      <c r="A66">
        <v>5</v>
      </c>
      <c r="C66" t="s">
        <v>154</v>
      </c>
      <c r="D66">
        <v>3</v>
      </c>
      <c r="BN66">
        <v>7</v>
      </c>
    </row>
    <row r="67" spans="1:77" x14ac:dyDescent="0.25">
      <c r="A67">
        <v>4</v>
      </c>
      <c r="C67" t="s">
        <v>17</v>
      </c>
      <c r="D67">
        <v>3</v>
      </c>
      <c r="W67">
        <v>8</v>
      </c>
    </row>
    <row r="68" spans="1:77" x14ac:dyDescent="0.25">
      <c r="A68">
        <v>4</v>
      </c>
      <c r="C68" t="s">
        <v>18</v>
      </c>
      <c r="D68">
        <v>2</v>
      </c>
      <c r="W68">
        <v>5</v>
      </c>
    </row>
    <row r="69" spans="1:77" x14ac:dyDescent="0.25">
      <c r="A69">
        <v>5</v>
      </c>
      <c r="C69" t="s">
        <v>155</v>
      </c>
      <c r="D69">
        <v>3</v>
      </c>
      <c r="BR69">
        <v>8</v>
      </c>
    </row>
    <row r="70" spans="1:77" x14ac:dyDescent="0.25">
      <c r="A70">
        <v>5</v>
      </c>
      <c r="C70" t="s">
        <v>156</v>
      </c>
      <c r="D70">
        <v>3</v>
      </c>
      <c r="BR70">
        <v>10</v>
      </c>
    </row>
    <row r="71" spans="1:77" x14ac:dyDescent="0.25">
      <c r="A71">
        <v>5</v>
      </c>
      <c r="C71" t="s">
        <v>157</v>
      </c>
      <c r="D71">
        <v>4</v>
      </c>
      <c r="BR71">
        <v>7</v>
      </c>
    </row>
    <row r="72" spans="1:77" x14ac:dyDescent="0.25">
      <c r="A72">
        <v>4</v>
      </c>
      <c r="C72" t="s">
        <v>158</v>
      </c>
      <c r="D72">
        <v>2</v>
      </c>
    </row>
    <row r="73" spans="1:77" x14ac:dyDescent="0.25">
      <c r="A73">
        <v>4</v>
      </c>
      <c r="C73" t="s">
        <v>159</v>
      </c>
      <c r="D73">
        <v>2</v>
      </c>
    </row>
    <row r="74" spans="1:77" x14ac:dyDescent="0.25">
      <c r="A74">
        <v>4</v>
      </c>
      <c r="C74" t="s">
        <v>160</v>
      </c>
      <c r="D74">
        <v>3</v>
      </c>
    </row>
    <row r="75" spans="1:77" x14ac:dyDescent="0.25">
      <c r="A75">
        <v>3</v>
      </c>
      <c r="C75" t="s">
        <v>19</v>
      </c>
      <c r="D75">
        <v>2</v>
      </c>
      <c r="G75">
        <v>8</v>
      </c>
    </row>
    <row r="76" spans="1:77" x14ac:dyDescent="0.25">
      <c r="A76">
        <v>4</v>
      </c>
      <c r="C76" t="s">
        <v>20</v>
      </c>
      <c r="D76">
        <v>4</v>
      </c>
      <c r="BY76">
        <v>9</v>
      </c>
    </row>
    <row r="77" spans="1:77" x14ac:dyDescent="0.25">
      <c r="A77">
        <v>4</v>
      </c>
      <c r="C77" t="s">
        <v>21</v>
      </c>
      <c r="D77">
        <v>4</v>
      </c>
      <c r="BY77">
        <v>9</v>
      </c>
    </row>
    <row r="78" spans="1:77" x14ac:dyDescent="0.25">
      <c r="A78">
        <v>4</v>
      </c>
      <c r="C78" t="s">
        <v>22</v>
      </c>
      <c r="D78">
        <v>4</v>
      </c>
      <c r="BY78">
        <v>9</v>
      </c>
    </row>
    <row r="79" spans="1:77" x14ac:dyDescent="0.25">
      <c r="A79">
        <v>4</v>
      </c>
      <c r="C79" t="s">
        <v>23</v>
      </c>
      <c r="D79">
        <v>1</v>
      </c>
      <c r="BY79">
        <v>8</v>
      </c>
    </row>
    <row r="80" spans="1:77" x14ac:dyDescent="0.25">
      <c r="A80">
        <v>4</v>
      </c>
      <c r="C80" t="s">
        <v>161</v>
      </c>
      <c r="D80">
        <v>3</v>
      </c>
      <c r="BY80">
        <v>7</v>
      </c>
    </row>
    <row r="81" spans="1:94" x14ac:dyDescent="0.25">
      <c r="A81">
        <v>4</v>
      </c>
      <c r="C81" t="s">
        <v>162</v>
      </c>
      <c r="D81">
        <v>2</v>
      </c>
      <c r="BY81">
        <v>7</v>
      </c>
    </row>
    <row r="82" spans="1:94" x14ac:dyDescent="0.25">
      <c r="A82">
        <v>4</v>
      </c>
      <c r="C82" t="s">
        <v>163</v>
      </c>
      <c r="D82">
        <v>3</v>
      </c>
      <c r="BY82">
        <v>5</v>
      </c>
    </row>
    <row r="83" spans="1:94" x14ac:dyDescent="0.25">
      <c r="A83">
        <v>3</v>
      </c>
      <c r="C83" t="s">
        <v>164</v>
      </c>
      <c r="D83">
        <v>2</v>
      </c>
      <c r="G83">
        <v>10</v>
      </c>
    </row>
    <row r="84" spans="1:94" x14ac:dyDescent="0.25">
      <c r="A84">
        <v>4</v>
      </c>
      <c r="C84" t="s">
        <v>165</v>
      </c>
      <c r="D84">
        <v>3</v>
      </c>
      <c r="CG84">
        <v>7</v>
      </c>
    </row>
    <row r="85" spans="1:94" x14ac:dyDescent="0.25">
      <c r="A85">
        <v>4</v>
      </c>
      <c r="C85" t="s">
        <v>166</v>
      </c>
      <c r="D85">
        <v>2</v>
      </c>
      <c r="CG85">
        <v>7</v>
      </c>
    </row>
    <row r="86" spans="1:94" x14ac:dyDescent="0.25">
      <c r="A86">
        <v>4</v>
      </c>
      <c r="C86" t="s">
        <v>167</v>
      </c>
      <c r="D86">
        <v>3</v>
      </c>
      <c r="CG86">
        <v>10</v>
      </c>
    </row>
    <row r="87" spans="1:94" x14ac:dyDescent="0.25">
      <c r="A87">
        <v>4</v>
      </c>
      <c r="C87" t="s">
        <v>168</v>
      </c>
      <c r="D87">
        <v>2</v>
      </c>
      <c r="CG87">
        <v>10</v>
      </c>
    </row>
    <row r="88" spans="1:94" x14ac:dyDescent="0.25">
      <c r="A88">
        <v>4</v>
      </c>
      <c r="C88" t="s">
        <v>169</v>
      </c>
      <c r="CG88">
        <v>8</v>
      </c>
    </row>
    <row r="89" spans="1:94" x14ac:dyDescent="0.25">
      <c r="A89">
        <v>4</v>
      </c>
      <c r="C89" t="s">
        <v>170</v>
      </c>
      <c r="D89">
        <v>1</v>
      </c>
      <c r="CG89">
        <v>9</v>
      </c>
    </row>
    <row r="90" spans="1:94" x14ac:dyDescent="0.25">
      <c r="A90">
        <v>4</v>
      </c>
      <c r="C90" t="s">
        <v>171</v>
      </c>
      <c r="D90">
        <v>3</v>
      </c>
      <c r="CG90">
        <v>7</v>
      </c>
    </row>
    <row r="91" spans="1:94" x14ac:dyDescent="0.25">
      <c r="A91">
        <v>4</v>
      </c>
      <c r="C91" t="s">
        <v>172</v>
      </c>
      <c r="CG91">
        <v>7</v>
      </c>
    </row>
    <row r="92" spans="1:94" x14ac:dyDescent="0.25">
      <c r="A92">
        <v>2</v>
      </c>
      <c r="C92" t="s">
        <v>24</v>
      </c>
      <c r="D92">
        <v>5</v>
      </c>
      <c r="F92">
        <v>9</v>
      </c>
    </row>
    <row r="93" spans="1:94" x14ac:dyDescent="0.25">
      <c r="A93">
        <v>3</v>
      </c>
      <c r="C93" t="s">
        <v>626</v>
      </c>
      <c r="D93">
        <v>2</v>
      </c>
      <c r="CP93">
        <v>10</v>
      </c>
    </row>
    <row r="94" spans="1:94" x14ac:dyDescent="0.25">
      <c r="A94">
        <v>3</v>
      </c>
      <c r="C94" t="s">
        <v>627</v>
      </c>
      <c r="D94">
        <v>5</v>
      </c>
      <c r="CP94">
        <v>9</v>
      </c>
    </row>
    <row r="95" spans="1:94" x14ac:dyDescent="0.25">
      <c r="A95">
        <v>3</v>
      </c>
      <c r="C95" t="s">
        <v>25</v>
      </c>
      <c r="D95">
        <v>6</v>
      </c>
      <c r="CP95">
        <v>7</v>
      </c>
    </row>
    <row r="96" spans="1:94" x14ac:dyDescent="0.25">
      <c r="A96">
        <v>3</v>
      </c>
      <c r="C96" t="s">
        <v>26</v>
      </c>
      <c r="D96">
        <v>4</v>
      </c>
      <c r="CP96">
        <v>7</v>
      </c>
    </row>
    <row r="97" spans="1:108" x14ac:dyDescent="0.25">
      <c r="A97">
        <v>3</v>
      </c>
      <c r="C97" t="s">
        <v>27</v>
      </c>
      <c r="D97">
        <v>2</v>
      </c>
      <c r="CP97">
        <v>8</v>
      </c>
    </row>
    <row r="98" spans="1:108" x14ac:dyDescent="0.25">
      <c r="A98">
        <v>3</v>
      </c>
      <c r="C98" t="s">
        <v>173</v>
      </c>
      <c r="D98">
        <v>3</v>
      </c>
      <c r="CP98">
        <v>7</v>
      </c>
    </row>
    <row r="99" spans="1:108" x14ac:dyDescent="0.25">
      <c r="A99">
        <v>3</v>
      </c>
      <c r="C99" t="s">
        <v>174</v>
      </c>
      <c r="D99">
        <v>2</v>
      </c>
      <c r="CP99">
        <v>7</v>
      </c>
    </row>
    <row r="100" spans="1:108" x14ac:dyDescent="0.25">
      <c r="A100">
        <v>3</v>
      </c>
      <c r="C100" t="s">
        <v>175</v>
      </c>
      <c r="D100">
        <v>3</v>
      </c>
      <c r="CP100">
        <v>5</v>
      </c>
    </row>
    <row r="101" spans="1:108" x14ac:dyDescent="0.25">
      <c r="A101">
        <v>2</v>
      </c>
      <c r="C101" t="s">
        <v>176</v>
      </c>
      <c r="D101">
        <v>3</v>
      </c>
      <c r="F101">
        <v>8</v>
      </c>
    </row>
    <row r="102" spans="1:108" x14ac:dyDescent="0.25">
      <c r="A102">
        <v>3</v>
      </c>
      <c r="C102" t="s">
        <v>177</v>
      </c>
      <c r="D102">
        <v>2</v>
      </c>
      <c r="CY102">
        <v>7</v>
      </c>
    </row>
    <row r="103" spans="1:108" x14ac:dyDescent="0.25">
      <c r="A103">
        <v>3</v>
      </c>
      <c r="C103" t="s">
        <v>178</v>
      </c>
      <c r="CY103">
        <v>8</v>
      </c>
    </row>
    <row r="104" spans="1:108" x14ac:dyDescent="0.25">
      <c r="A104">
        <v>3</v>
      </c>
      <c r="C104" t="s">
        <v>179</v>
      </c>
      <c r="CY104">
        <v>5</v>
      </c>
    </row>
    <row r="105" spans="1:108" x14ac:dyDescent="0.25">
      <c r="A105">
        <v>2</v>
      </c>
      <c r="C105" t="s">
        <v>28</v>
      </c>
      <c r="D105">
        <v>2</v>
      </c>
      <c r="F105">
        <v>7</v>
      </c>
    </row>
    <row r="106" spans="1:108" x14ac:dyDescent="0.25">
      <c r="A106">
        <v>3</v>
      </c>
      <c r="C106" t="s">
        <v>180</v>
      </c>
      <c r="D106">
        <v>2</v>
      </c>
      <c r="DC106">
        <v>6</v>
      </c>
    </row>
    <row r="107" spans="1:108" x14ac:dyDescent="0.25">
      <c r="A107">
        <v>4</v>
      </c>
      <c r="C107" t="s">
        <v>29</v>
      </c>
      <c r="D107">
        <v>2</v>
      </c>
      <c r="DD107">
        <v>8</v>
      </c>
    </row>
    <row r="108" spans="1:108" x14ac:dyDescent="0.25">
      <c r="A108">
        <v>4</v>
      </c>
      <c r="C108" t="s">
        <v>181</v>
      </c>
      <c r="D108">
        <v>1</v>
      </c>
      <c r="DD108">
        <v>7</v>
      </c>
    </row>
    <row r="109" spans="1:108" x14ac:dyDescent="0.25">
      <c r="A109">
        <v>4</v>
      </c>
      <c r="C109" t="s">
        <v>182</v>
      </c>
      <c r="D109">
        <v>3</v>
      </c>
      <c r="DD109">
        <v>7</v>
      </c>
    </row>
    <row r="110" spans="1:108" x14ac:dyDescent="0.25">
      <c r="A110">
        <v>4</v>
      </c>
      <c r="C110" t="s">
        <v>183</v>
      </c>
      <c r="D110">
        <v>3</v>
      </c>
      <c r="DD110">
        <v>7</v>
      </c>
    </row>
    <row r="111" spans="1:108" x14ac:dyDescent="0.25">
      <c r="A111">
        <v>4</v>
      </c>
      <c r="C111" t="s">
        <v>184</v>
      </c>
      <c r="D111">
        <v>2</v>
      </c>
      <c r="DD111">
        <v>7</v>
      </c>
    </row>
    <row r="112" spans="1:108" x14ac:dyDescent="0.25">
      <c r="A112">
        <v>4</v>
      </c>
      <c r="C112" t="s">
        <v>185</v>
      </c>
      <c r="D112">
        <v>3</v>
      </c>
      <c r="DD112">
        <v>6</v>
      </c>
    </row>
    <row r="113" spans="1:120" x14ac:dyDescent="0.25">
      <c r="A113">
        <v>3</v>
      </c>
      <c r="C113" t="s">
        <v>30</v>
      </c>
      <c r="D113">
        <v>3</v>
      </c>
      <c r="DC113">
        <v>6</v>
      </c>
    </row>
    <row r="114" spans="1:120" x14ac:dyDescent="0.25">
      <c r="A114">
        <v>4</v>
      </c>
      <c r="C114" t="s">
        <v>31</v>
      </c>
      <c r="D114">
        <v>2</v>
      </c>
      <c r="DK114">
        <v>9</v>
      </c>
    </row>
    <row r="115" spans="1:120" x14ac:dyDescent="0.25">
      <c r="A115">
        <v>4</v>
      </c>
      <c r="C115" t="s">
        <v>186</v>
      </c>
      <c r="D115">
        <v>3</v>
      </c>
      <c r="DK115">
        <v>7</v>
      </c>
    </row>
    <row r="116" spans="1:120" x14ac:dyDescent="0.25">
      <c r="A116">
        <v>4</v>
      </c>
      <c r="C116" t="s">
        <v>32</v>
      </c>
      <c r="D116">
        <v>2</v>
      </c>
      <c r="DK116">
        <v>9</v>
      </c>
    </row>
    <row r="117" spans="1:120" x14ac:dyDescent="0.25">
      <c r="A117">
        <v>4</v>
      </c>
      <c r="C117" t="s">
        <v>33</v>
      </c>
      <c r="D117">
        <v>3</v>
      </c>
      <c r="DK117">
        <v>7</v>
      </c>
    </row>
    <row r="118" spans="1:120" x14ac:dyDescent="0.25">
      <c r="A118">
        <v>3</v>
      </c>
      <c r="C118" t="s">
        <v>34</v>
      </c>
      <c r="D118">
        <v>3</v>
      </c>
      <c r="DC118">
        <v>5</v>
      </c>
    </row>
    <row r="119" spans="1:120" x14ac:dyDescent="0.25">
      <c r="A119">
        <v>4</v>
      </c>
      <c r="C119" t="s">
        <v>35</v>
      </c>
      <c r="DP119">
        <v>9</v>
      </c>
    </row>
    <row r="120" spans="1:120" x14ac:dyDescent="0.25">
      <c r="A120">
        <v>4</v>
      </c>
      <c r="C120" t="s">
        <v>36</v>
      </c>
      <c r="DP120">
        <v>5</v>
      </c>
    </row>
    <row r="121" spans="1:120" x14ac:dyDescent="0.25">
      <c r="A121">
        <v>4</v>
      </c>
      <c r="C121" t="s">
        <v>37</v>
      </c>
      <c r="DP121">
        <v>5</v>
      </c>
    </row>
    <row r="122" spans="1:120" x14ac:dyDescent="0.25">
      <c r="A122">
        <v>4</v>
      </c>
      <c r="C122" t="s">
        <v>38</v>
      </c>
      <c r="DP122">
        <v>5</v>
      </c>
    </row>
    <row r="123" spans="1:120" x14ac:dyDescent="0.25">
      <c r="A123">
        <v>4</v>
      </c>
      <c r="C123" t="s">
        <v>187</v>
      </c>
      <c r="D123">
        <v>2</v>
      </c>
      <c r="DP123">
        <v>6</v>
      </c>
    </row>
    <row r="124" spans="1:120" x14ac:dyDescent="0.25">
      <c r="A124">
        <v>4</v>
      </c>
      <c r="C124" t="s">
        <v>39</v>
      </c>
      <c r="D124">
        <v>-4</v>
      </c>
      <c r="DP124">
        <v>2</v>
      </c>
    </row>
    <row r="125" spans="1:120" x14ac:dyDescent="0.25">
      <c r="A125">
        <v>4</v>
      </c>
      <c r="C125" t="s">
        <v>188</v>
      </c>
      <c r="D125">
        <v>3</v>
      </c>
      <c r="DP125">
        <v>7</v>
      </c>
    </row>
    <row r="126" spans="1:120" x14ac:dyDescent="0.25">
      <c r="A126">
        <v>4</v>
      </c>
      <c r="C126" t="s">
        <v>189</v>
      </c>
      <c r="D126">
        <v>3</v>
      </c>
      <c r="DP126">
        <v>7</v>
      </c>
    </row>
    <row r="127" spans="1:120" x14ac:dyDescent="0.25">
      <c r="A127">
        <v>4</v>
      </c>
      <c r="C127" t="s">
        <v>190</v>
      </c>
      <c r="D127">
        <v>3</v>
      </c>
      <c r="DP127">
        <v>7</v>
      </c>
    </row>
    <row r="128" spans="1:120" x14ac:dyDescent="0.25">
      <c r="A128">
        <v>4</v>
      </c>
      <c r="C128" t="s">
        <v>191</v>
      </c>
      <c r="D128">
        <v>4</v>
      </c>
      <c r="DP128">
        <v>6</v>
      </c>
    </row>
    <row r="129" spans="1:141" x14ac:dyDescent="0.25">
      <c r="A129">
        <v>2</v>
      </c>
      <c r="C129" t="s">
        <v>40</v>
      </c>
      <c r="D129">
        <v>3</v>
      </c>
      <c r="F129">
        <v>5</v>
      </c>
    </row>
    <row r="130" spans="1:141" x14ac:dyDescent="0.25">
      <c r="A130">
        <v>3</v>
      </c>
      <c r="C130" t="s">
        <v>41</v>
      </c>
      <c r="D130">
        <v>3</v>
      </c>
      <c r="EA130">
        <v>5</v>
      </c>
    </row>
    <row r="131" spans="1:141" x14ac:dyDescent="0.25">
      <c r="A131">
        <v>3</v>
      </c>
      <c r="C131" t="s">
        <v>42</v>
      </c>
      <c r="D131">
        <v>2</v>
      </c>
      <c r="EA131">
        <v>5</v>
      </c>
    </row>
    <row r="132" spans="1:141" x14ac:dyDescent="0.25">
      <c r="A132">
        <v>3</v>
      </c>
      <c r="C132" t="s">
        <v>43</v>
      </c>
      <c r="D132">
        <v>4</v>
      </c>
    </row>
    <row r="133" spans="1:141" x14ac:dyDescent="0.25">
      <c r="A133">
        <v>2</v>
      </c>
      <c r="C133" t="s">
        <v>44</v>
      </c>
      <c r="D133">
        <v>2</v>
      </c>
      <c r="F133">
        <v>5</v>
      </c>
    </row>
    <row r="134" spans="1:141" x14ac:dyDescent="0.25">
      <c r="A134">
        <v>3</v>
      </c>
      <c r="C134" t="s">
        <v>45</v>
      </c>
      <c r="D134">
        <v>2</v>
      </c>
      <c r="EE134">
        <v>5</v>
      </c>
    </row>
    <row r="135" spans="1:141" x14ac:dyDescent="0.25">
      <c r="A135">
        <v>3</v>
      </c>
      <c r="C135" t="s">
        <v>192</v>
      </c>
      <c r="D135">
        <v>3</v>
      </c>
      <c r="EE135">
        <v>6</v>
      </c>
    </row>
    <row r="136" spans="1:141" x14ac:dyDescent="0.25">
      <c r="A136">
        <v>3</v>
      </c>
      <c r="C136" t="s">
        <v>46</v>
      </c>
      <c r="D136">
        <v>2</v>
      </c>
      <c r="EE136">
        <v>5</v>
      </c>
    </row>
    <row r="137" spans="1:141" x14ac:dyDescent="0.25">
      <c r="A137">
        <v>1</v>
      </c>
      <c r="C137" t="s">
        <v>313</v>
      </c>
      <c r="D137">
        <v>4</v>
      </c>
      <c r="E137">
        <v>8</v>
      </c>
    </row>
    <row r="138" spans="1:141" x14ac:dyDescent="0.25">
      <c r="A138">
        <v>2</v>
      </c>
      <c r="C138" t="s">
        <v>47</v>
      </c>
      <c r="D138">
        <v>3</v>
      </c>
      <c r="EI138">
        <v>6</v>
      </c>
    </row>
    <row r="139" spans="1:141" x14ac:dyDescent="0.25">
      <c r="A139">
        <v>3</v>
      </c>
      <c r="C139" t="s">
        <v>193</v>
      </c>
      <c r="D139">
        <v>5</v>
      </c>
      <c r="EJ139">
        <v>5</v>
      </c>
    </row>
    <row r="140" spans="1:141" x14ac:dyDescent="0.25">
      <c r="A140">
        <v>4</v>
      </c>
      <c r="C140" t="s">
        <v>194</v>
      </c>
      <c r="D140">
        <v>4</v>
      </c>
      <c r="EK140">
        <v>9</v>
      </c>
    </row>
    <row r="141" spans="1:141" x14ac:dyDescent="0.25">
      <c r="A141">
        <v>4</v>
      </c>
      <c r="C141" t="s">
        <v>195</v>
      </c>
      <c r="D141">
        <v>3</v>
      </c>
      <c r="EK141">
        <v>9</v>
      </c>
    </row>
    <row r="142" spans="1:141" x14ac:dyDescent="0.25">
      <c r="A142">
        <v>4</v>
      </c>
      <c r="C142" t="s">
        <v>196</v>
      </c>
      <c r="D142">
        <v>5</v>
      </c>
      <c r="EK142">
        <v>8</v>
      </c>
    </row>
    <row r="143" spans="1:141" x14ac:dyDescent="0.25">
      <c r="A143">
        <v>4</v>
      </c>
      <c r="C143" t="s">
        <v>197</v>
      </c>
      <c r="EK143">
        <v>9</v>
      </c>
    </row>
    <row r="144" spans="1:141" x14ac:dyDescent="0.25">
      <c r="A144">
        <v>3</v>
      </c>
      <c r="C144" t="s">
        <v>198</v>
      </c>
      <c r="D144">
        <v>4</v>
      </c>
      <c r="EJ144">
        <v>7</v>
      </c>
    </row>
    <row r="145" spans="1:160" x14ac:dyDescent="0.25">
      <c r="A145">
        <v>4</v>
      </c>
      <c r="C145" t="s">
        <v>199</v>
      </c>
      <c r="D145">
        <v>2</v>
      </c>
      <c r="EP145">
        <v>9</v>
      </c>
    </row>
    <row r="146" spans="1:160" x14ac:dyDescent="0.25">
      <c r="A146">
        <v>4</v>
      </c>
      <c r="C146" t="s">
        <v>200</v>
      </c>
      <c r="D146">
        <v>2</v>
      </c>
      <c r="EP146">
        <v>9</v>
      </c>
    </row>
    <row r="147" spans="1:160" x14ac:dyDescent="0.25">
      <c r="A147">
        <v>4</v>
      </c>
      <c r="C147" t="s">
        <v>201</v>
      </c>
      <c r="D147">
        <v>3</v>
      </c>
      <c r="EP147">
        <v>8</v>
      </c>
    </row>
    <row r="148" spans="1:160" x14ac:dyDescent="0.25">
      <c r="A148">
        <v>3</v>
      </c>
      <c r="C148" t="s">
        <v>202</v>
      </c>
      <c r="D148">
        <v>4</v>
      </c>
      <c r="EJ148">
        <v>7</v>
      </c>
    </row>
    <row r="149" spans="1:160" x14ac:dyDescent="0.25">
      <c r="A149">
        <v>4</v>
      </c>
      <c r="C149" t="s">
        <v>203</v>
      </c>
      <c r="D149">
        <v>2</v>
      </c>
      <c r="ET149">
        <v>9</v>
      </c>
    </row>
    <row r="150" spans="1:160" x14ac:dyDescent="0.25">
      <c r="A150">
        <v>4</v>
      </c>
      <c r="C150" t="s">
        <v>204</v>
      </c>
      <c r="D150">
        <v>2</v>
      </c>
      <c r="ET150">
        <v>8</v>
      </c>
    </row>
    <row r="151" spans="1:160" x14ac:dyDescent="0.25">
      <c r="A151">
        <v>4</v>
      </c>
      <c r="C151" t="s">
        <v>205</v>
      </c>
      <c r="D151">
        <v>3</v>
      </c>
      <c r="ET151">
        <v>7</v>
      </c>
    </row>
    <row r="152" spans="1:160" x14ac:dyDescent="0.25">
      <c r="A152">
        <v>4</v>
      </c>
      <c r="C152" t="s">
        <v>206</v>
      </c>
      <c r="D152">
        <v>4</v>
      </c>
      <c r="ET152">
        <v>9</v>
      </c>
    </row>
    <row r="153" spans="1:160" x14ac:dyDescent="0.25">
      <c r="A153">
        <v>4</v>
      </c>
      <c r="C153" t="s">
        <v>207</v>
      </c>
      <c r="ET153">
        <v>7</v>
      </c>
    </row>
    <row r="154" spans="1:160" x14ac:dyDescent="0.25">
      <c r="A154">
        <v>3</v>
      </c>
      <c r="C154" t="s">
        <v>208</v>
      </c>
      <c r="D154">
        <v>3</v>
      </c>
      <c r="EJ154">
        <v>7</v>
      </c>
    </row>
    <row r="155" spans="1:160" x14ac:dyDescent="0.25">
      <c r="A155">
        <v>2</v>
      </c>
      <c r="C155" t="s">
        <v>209</v>
      </c>
      <c r="D155">
        <v>7</v>
      </c>
      <c r="EI155">
        <v>9</v>
      </c>
    </row>
    <row r="156" spans="1:160" x14ac:dyDescent="0.25">
      <c r="A156">
        <v>3</v>
      </c>
      <c r="C156" t="s">
        <v>210</v>
      </c>
      <c r="D156">
        <v>4</v>
      </c>
      <c r="FA156">
        <v>7</v>
      </c>
    </row>
    <row r="157" spans="1:160" x14ac:dyDescent="0.25">
      <c r="A157">
        <v>4</v>
      </c>
      <c r="C157" t="s">
        <v>211</v>
      </c>
      <c r="D157">
        <v>4</v>
      </c>
      <c r="FB157">
        <v>9</v>
      </c>
    </row>
    <row r="158" spans="1:160" x14ac:dyDescent="0.25">
      <c r="A158">
        <v>3</v>
      </c>
      <c r="C158" t="s">
        <v>212</v>
      </c>
      <c r="D158">
        <v>3</v>
      </c>
      <c r="FA158">
        <v>9</v>
      </c>
    </row>
    <row r="159" spans="1:160" x14ac:dyDescent="0.25">
      <c r="A159">
        <v>4</v>
      </c>
      <c r="C159" t="s">
        <v>213</v>
      </c>
      <c r="D159">
        <v>4</v>
      </c>
      <c r="FD159">
        <v>10</v>
      </c>
    </row>
    <row r="160" spans="1:160" x14ac:dyDescent="0.25">
      <c r="A160">
        <v>4</v>
      </c>
      <c r="C160" t="s">
        <v>214</v>
      </c>
      <c r="D160">
        <v>2</v>
      </c>
      <c r="FD160">
        <v>7</v>
      </c>
    </row>
    <row r="161" spans="1:173" x14ac:dyDescent="0.25">
      <c r="A161">
        <v>4</v>
      </c>
      <c r="C161" t="s">
        <v>215</v>
      </c>
      <c r="D161">
        <v>4</v>
      </c>
      <c r="FD161">
        <v>9</v>
      </c>
    </row>
    <row r="162" spans="1:173" x14ac:dyDescent="0.25">
      <c r="A162">
        <v>3</v>
      </c>
      <c r="C162" t="s">
        <v>216</v>
      </c>
      <c r="D162">
        <v>2</v>
      </c>
      <c r="FA162">
        <v>7</v>
      </c>
    </row>
    <row r="163" spans="1:173" x14ac:dyDescent="0.25">
      <c r="A163">
        <v>4</v>
      </c>
      <c r="C163" t="s">
        <v>217</v>
      </c>
      <c r="D163">
        <v>2</v>
      </c>
      <c r="FH163">
        <v>8</v>
      </c>
    </row>
    <row r="164" spans="1:173" x14ac:dyDescent="0.25">
      <c r="A164">
        <v>3</v>
      </c>
      <c r="C164" t="s">
        <v>218</v>
      </c>
      <c r="FA164">
        <v>7</v>
      </c>
    </row>
    <row r="165" spans="1:173" x14ac:dyDescent="0.25">
      <c r="A165">
        <v>3</v>
      </c>
      <c r="C165" t="s">
        <v>219</v>
      </c>
      <c r="D165">
        <v>2</v>
      </c>
      <c r="FA165">
        <v>7</v>
      </c>
    </row>
    <row r="166" spans="1:173" x14ac:dyDescent="0.25">
      <c r="A166">
        <v>3</v>
      </c>
      <c r="C166" t="s">
        <v>220</v>
      </c>
      <c r="FA166">
        <v>7</v>
      </c>
    </row>
    <row r="167" spans="1:173" x14ac:dyDescent="0.25">
      <c r="A167">
        <v>2</v>
      </c>
      <c r="C167" t="s">
        <v>48</v>
      </c>
      <c r="D167">
        <v>2</v>
      </c>
      <c r="EI167">
        <v>6</v>
      </c>
    </row>
    <row r="168" spans="1:173" x14ac:dyDescent="0.25">
      <c r="A168">
        <v>3</v>
      </c>
      <c r="C168" t="s">
        <v>86</v>
      </c>
      <c r="D168">
        <v>3</v>
      </c>
      <c r="FM168">
        <v>9</v>
      </c>
    </row>
    <row r="169" spans="1:173" x14ac:dyDescent="0.25">
      <c r="A169">
        <v>3</v>
      </c>
      <c r="C169" t="s">
        <v>87</v>
      </c>
      <c r="D169">
        <v>2</v>
      </c>
      <c r="FM169">
        <v>7</v>
      </c>
    </row>
    <row r="170" spans="1:173" x14ac:dyDescent="0.25">
      <c r="A170">
        <v>3</v>
      </c>
      <c r="C170" t="s">
        <v>88</v>
      </c>
      <c r="D170">
        <v>2</v>
      </c>
      <c r="FM170">
        <v>8</v>
      </c>
    </row>
    <row r="171" spans="1:173" x14ac:dyDescent="0.25">
      <c r="A171">
        <v>2</v>
      </c>
      <c r="C171" t="s">
        <v>221</v>
      </c>
      <c r="D171">
        <v>3</v>
      </c>
      <c r="EI171">
        <v>7</v>
      </c>
    </row>
    <row r="172" spans="1:173" x14ac:dyDescent="0.25">
      <c r="A172">
        <v>3</v>
      </c>
      <c r="C172" t="s">
        <v>96</v>
      </c>
      <c r="FQ172">
        <v>7</v>
      </c>
    </row>
    <row r="173" spans="1:173" x14ac:dyDescent="0.25">
      <c r="A173">
        <v>3</v>
      </c>
      <c r="C173" t="s">
        <v>97</v>
      </c>
      <c r="D173">
        <v>2</v>
      </c>
      <c r="FQ173">
        <v>8</v>
      </c>
    </row>
    <row r="174" spans="1:173" x14ac:dyDescent="0.25">
      <c r="A174">
        <v>3</v>
      </c>
      <c r="C174" t="s">
        <v>98</v>
      </c>
      <c r="D174">
        <v>3</v>
      </c>
      <c r="FQ174">
        <v>7</v>
      </c>
    </row>
    <row r="175" spans="1:173" x14ac:dyDescent="0.25">
      <c r="A175">
        <v>3</v>
      </c>
      <c r="C175" t="s">
        <v>99</v>
      </c>
      <c r="D175">
        <v>2</v>
      </c>
      <c r="FQ175">
        <v>8</v>
      </c>
    </row>
    <row r="176" spans="1:173" x14ac:dyDescent="0.25">
      <c r="A176">
        <v>3</v>
      </c>
      <c r="C176" t="s">
        <v>100</v>
      </c>
      <c r="FQ176">
        <v>7</v>
      </c>
    </row>
    <row r="177" spans="1:189" x14ac:dyDescent="0.25">
      <c r="A177">
        <v>1</v>
      </c>
      <c r="C177" t="s">
        <v>222</v>
      </c>
      <c r="D177">
        <v>8</v>
      </c>
      <c r="E177">
        <v>10</v>
      </c>
    </row>
    <row r="178" spans="1:189" x14ac:dyDescent="0.25">
      <c r="A178">
        <v>2</v>
      </c>
      <c r="C178" t="s">
        <v>223</v>
      </c>
      <c r="D178">
        <v>9</v>
      </c>
      <c r="FW178">
        <v>8</v>
      </c>
    </row>
    <row r="179" spans="1:189" x14ac:dyDescent="0.25">
      <c r="A179">
        <v>3</v>
      </c>
      <c r="C179" t="s">
        <v>49</v>
      </c>
      <c r="D179">
        <v>2</v>
      </c>
      <c r="FX179">
        <v>7</v>
      </c>
    </row>
    <row r="180" spans="1:189" x14ac:dyDescent="0.25">
      <c r="A180">
        <v>3</v>
      </c>
      <c r="C180" t="s">
        <v>89</v>
      </c>
      <c r="D180">
        <v>3</v>
      </c>
      <c r="FX180">
        <v>9</v>
      </c>
    </row>
    <row r="181" spans="1:189" x14ac:dyDescent="0.25">
      <c r="A181">
        <v>3</v>
      </c>
      <c r="C181" t="s">
        <v>90</v>
      </c>
      <c r="D181">
        <v>2</v>
      </c>
      <c r="FX181">
        <v>7</v>
      </c>
    </row>
    <row r="182" spans="1:189" x14ac:dyDescent="0.25">
      <c r="A182">
        <v>3</v>
      </c>
      <c r="C182" t="s">
        <v>91</v>
      </c>
      <c r="FX182">
        <v>7</v>
      </c>
    </row>
    <row r="183" spans="1:189" x14ac:dyDescent="0.25">
      <c r="A183">
        <v>3</v>
      </c>
      <c r="C183" t="s">
        <v>92</v>
      </c>
      <c r="D183">
        <v>4</v>
      </c>
      <c r="FX183">
        <v>10</v>
      </c>
    </row>
    <row r="184" spans="1:189" x14ac:dyDescent="0.25">
      <c r="A184">
        <v>3</v>
      </c>
      <c r="C184" t="s">
        <v>93</v>
      </c>
      <c r="D184">
        <v>4</v>
      </c>
      <c r="FX184">
        <v>10</v>
      </c>
    </row>
    <row r="185" spans="1:189" x14ac:dyDescent="0.25">
      <c r="A185">
        <v>3</v>
      </c>
      <c r="C185" t="s">
        <v>94</v>
      </c>
      <c r="D185">
        <v>2</v>
      </c>
      <c r="FX185">
        <v>8</v>
      </c>
    </row>
    <row r="186" spans="1:189" x14ac:dyDescent="0.25">
      <c r="A186">
        <v>3</v>
      </c>
      <c r="C186" t="s">
        <v>224</v>
      </c>
      <c r="D186">
        <v>3</v>
      </c>
      <c r="FX186">
        <v>7</v>
      </c>
    </row>
    <row r="187" spans="1:189" x14ac:dyDescent="0.25">
      <c r="A187">
        <v>2</v>
      </c>
      <c r="C187" t="s">
        <v>225</v>
      </c>
      <c r="D187">
        <v>5</v>
      </c>
      <c r="FW187">
        <v>9</v>
      </c>
    </row>
    <row r="188" spans="1:189" x14ac:dyDescent="0.25">
      <c r="A188">
        <v>3</v>
      </c>
      <c r="C188" t="s">
        <v>226</v>
      </c>
      <c r="D188">
        <v>7</v>
      </c>
      <c r="GG188">
        <v>10</v>
      </c>
    </row>
    <row r="189" spans="1:189" x14ac:dyDescent="0.25">
      <c r="A189">
        <v>4</v>
      </c>
      <c r="C189" t="s">
        <v>227</v>
      </c>
      <c r="D189">
        <v>6</v>
      </c>
    </row>
    <row r="190" spans="1:189" x14ac:dyDescent="0.25">
      <c r="A190">
        <v>4</v>
      </c>
      <c r="C190" t="s">
        <v>228</v>
      </c>
      <c r="D190">
        <v>5</v>
      </c>
    </row>
    <row r="191" spans="1:189" x14ac:dyDescent="0.25">
      <c r="A191">
        <v>4</v>
      </c>
      <c r="C191" t="s">
        <v>229</v>
      </c>
      <c r="D191">
        <v>4</v>
      </c>
    </row>
    <row r="192" spans="1:189" x14ac:dyDescent="0.25">
      <c r="A192">
        <v>4</v>
      </c>
      <c r="C192" t="s">
        <v>230</v>
      </c>
      <c r="D192">
        <v>4</v>
      </c>
    </row>
    <row r="193" spans="1:205" x14ac:dyDescent="0.25">
      <c r="A193">
        <v>4</v>
      </c>
      <c r="C193" t="s">
        <v>231</v>
      </c>
      <c r="D193">
        <v>4</v>
      </c>
    </row>
    <row r="194" spans="1:205" x14ac:dyDescent="0.25">
      <c r="A194">
        <v>3</v>
      </c>
      <c r="C194" t="s">
        <v>232</v>
      </c>
      <c r="D194">
        <v>7</v>
      </c>
      <c r="GG194">
        <v>10</v>
      </c>
    </row>
    <row r="195" spans="1:205" x14ac:dyDescent="0.25">
      <c r="A195">
        <v>4</v>
      </c>
      <c r="C195" t="s">
        <v>233</v>
      </c>
      <c r="D195">
        <v>5</v>
      </c>
      <c r="GH195">
        <v>10</v>
      </c>
    </row>
    <row r="196" spans="1:205" x14ac:dyDescent="0.25">
      <c r="A196">
        <v>4</v>
      </c>
      <c r="C196" t="s">
        <v>234</v>
      </c>
      <c r="D196">
        <v>6</v>
      </c>
      <c r="GH196">
        <v>9</v>
      </c>
    </row>
    <row r="197" spans="1:205" x14ac:dyDescent="0.25">
      <c r="A197">
        <v>5</v>
      </c>
      <c r="C197" t="s">
        <v>235</v>
      </c>
      <c r="D197">
        <v>6</v>
      </c>
      <c r="GP197">
        <v>10</v>
      </c>
    </row>
    <row r="198" spans="1:205" x14ac:dyDescent="0.25">
      <c r="A198">
        <v>5</v>
      </c>
      <c r="C198" t="s">
        <v>236</v>
      </c>
      <c r="D198">
        <v>4</v>
      </c>
      <c r="GP198">
        <v>9</v>
      </c>
    </row>
    <row r="199" spans="1:205" x14ac:dyDescent="0.25">
      <c r="A199">
        <v>5</v>
      </c>
      <c r="C199" t="s">
        <v>237</v>
      </c>
      <c r="D199">
        <v>5</v>
      </c>
      <c r="GP199">
        <v>10</v>
      </c>
    </row>
    <row r="200" spans="1:205" x14ac:dyDescent="0.25">
      <c r="A200">
        <v>5</v>
      </c>
      <c r="C200" t="s">
        <v>238</v>
      </c>
      <c r="D200">
        <v>2</v>
      </c>
      <c r="GP200">
        <v>7</v>
      </c>
    </row>
    <row r="201" spans="1:205" x14ac:dyDescent="0.25">
      <c r="A201">
        <v>5</v>
      </c>
      <c r="C201" t="s">
        <v>239</v>
      </c>
      <c r="D201">
        <v>3</v>
      </c>
      <c r="GP201">
        <v>7</v>
      </c>
    </row>
    <row r="202" spans="1:205" x14ac:dyDescent="0.25">
      <c r="A202">
        <v>5</v>
      </c>
      <c r="C202" t="s">
        <v>240</v>
      </c>
      <c r="D202">
        <v>2</v>
      </c>
      <c r="GP202">
        <v>8</v>
      </c>
    </row>
    <row r="203" spans="1:205" x14ac:dyDescent="0.25">
      <c r="A203">
        <v>4</v>
      </c>
      <c r="C203" t="s">
        <v>241</v>
      </c>
      <c r="D203">
        <v>9</v>
      </c>
      <c r="GH203">
        <v>10</v>
      </c>
    </row>
    <row r="204" spans="1:205" x14ac:dyDescent="0.25">
      <c r="A204">
        <v>5</v>
      </c>
      <c r="C204" t="s">
        <v>242</v>
      </c>
      <c r="D204">
        <v>8</v>
      </c>
      <c r="GW204">
        <v>10</v>
      </c>
    </row>
    <row r="205" spans="1:205" x14ac:dyDescent="0.25">
      <c r="A205">
        <v>5</v>
      </c>
      <c r="C205" t="s">
        <v>243</v>
      </c>
      <c r="D205">
        <v>7</v>
      </c>
      <c r="GW205">
        <v>10</v>
      </c>
    </row>
    <row r="206" spans="1:205" x14ac:dyDescent="0.25">
      <c r="A206">
        <v>5</v>
      </c>
      <c r="C206" t="s">
        <v>244</v>
      </c>
      <c r="D206">
        <v>5</v>
      </c>
      <c r="GW206">
        <v>9</v>
      </c>
    </row>
    <row r="207" spans="1:205" x14ac:dyDescent="0.25">
      <c r="A207">
        <v>5</v>
      </c>
      <c r="C207" t="s">
        <v>245</v>
      </c>
      <c r="D207">
        <v>6</v>
      </c>
      <c r="GW207">
        <v>9</v>
      </c>
    </row>
    <row r="208" spans="1:205" x14ac:dyDescent="0.25">
      <c r="A208">
        <v>4</v>
      </c>
      <c r="C208" t="s">
        <v>246</v>
      </c>
      <c r="GH208">
        <v>8</v>
      </c>
    </row>
    <row r="209" spans="1:221" x14ac:dyDescent="0.25">
      <c r="A209">
        <v>5</v>
      </c>
      <c r="C209" t="s">
        <v>247</v>
      </c>
      <c r="HB209">
        <v>9</v>
      </c>
    </row>
    <row r="210" spans="1:221" x14ac:dyDescent="0.25">
      <c r="A210">
        <v>5</v>
      </c>
      <c r="C210" t="s">
        <v>248</v>
      </c>
      <c r="HB210">
        <v>9</v>
      </c>
    </row>
    <row r="211" spans="1:221" x14ac:dyDescent="0.25">
      <c r="A211">
        <v>5</v>
      </c>
      <c r="C211" t="s">
        <v>249</v>
      </c>
      <c r="D211">
        <v>4</v>
      </c>
      <c r="HB211">
        <v>9</v>
      </c>
    </row>
    <row r="212" spans="1:221" x14ac:dyDescent="0.25">
      <c r="A212">
        <v>5</v>
      </c>
      <c r="C212" t="s">
        <v>250</v>
      </c>
      <c r="D212">
        <v>6</v>
      </c>
      <c r="HB212">
        <v>10</v>
      </c>
    </row>
    <row r="213" spans="1:221" x14ac:dyDescent="0.25">
      <c r="A213">
        <v>5</v>
      </c>
      <c r="C213" t="s">
        <v>251</v>
      </c>
      <c r="D213">
        <v>2</v>
      </c>
      <c r="HB213">
        <v>8</v>
      </c>
    </row>
    <row r="214" spans="1:221" x14ac:dyDescent="0.25">
      <c r="A214">
        <v>5</v>
      </c>
      <c r="C214" t="s">
        <v>252</v>
      </c>
      <c r="HB214">
        <v>7</v>
      </c>
    </row>
    <row r="215" spans="1:221" x14ac:dyDescent="0.25">
      <c r="A215">
        <v>4</v>
      </c>
      <c r="C215" t="s">
        <v>253</v>
      </c>
      <c r="GH215">
        <v>8</v>
      </c>
    </row>
    <row r="216" spans="1:221" x14ac:dyDescent="0.25">
      <c r="A216">
        <v>5</v>
      </c>
      <c r="C216" t="s">
        <v>254</v>
      </c>
      <c r="HI216">
        <v>7</v>
      </c>
    </row>
    <row r="217" spans="1:221" x14ac:dyDescent="0.25">
      <c r="A217">
        <v>5</v>
      </c>
      <c r="C217" t="s">
        <v>255</v>
      </c>
      <c r="HI217">
        <v>8</v>
      </c>
    </row>
    <row r="218" spans="1:221" x14ac:dyDescent="0.25">
      <c r="A218">
        <v>5</v>
      </c>
      <c r="C218" t="s">
        <v>256</v>
      </c>
      <c r="HI218">
        <v>7</v>
      </c>
    </row>
    <row r="219" spans="1:221" x14ac:dyDescent="0.25">
      <c r="A219">
        <v>4</v>
      </c>
      <c r="C219" t="s">
        <v>257</v>
      </c>
      <c r="D219">
        <v>6</v>
      </c>
      <c r="GH219">
        <v>8</v>
      </c>
    </row>
    <row r="220" spans="1:221" x14ac:dyDescent="0.25">
      <c r="A220">
        <v>5</v>
      </c>
      <c r="C220" t="s">
        <v>258</v>
      </c>
      <c r="D220">
        <v>7</v>
      </c>
      <c r="HM220">
        <v>9</v>
      </c>
    </row>
    <row r="221" spans="1:221" x14ac:dyDescent="0.25">
      <c r="A221">
        <v>5</v>
      </c>
      <c r="C221" t="s">
        <v>259</v>
      </c>
      <c r="D221">
        <v>7</v>
      </c>
      <c r="HM221">
        <v>9</v>
      </c>
    </row>
    <row r="222" spans="1:221" x14ac:dyDescent="0.25">
      <c r="A222">
        <v>5</v>
      </c>
      <c r="C222" t="s">
        <v>260</v>
      </c>
      <c r="D222">
        <v>4</v>
      </c>
      <c r="HM222">
        <v>9</v>
      </c>
    </row>
    <row r="223" spans="1:221" x14ac:dyDescent="0.25">
      <c r="A223">
        <v>5</v>
      </c>
      <c r="C223" t="s">
        <v>261</v>
      </c>
      <c r="D223">
        <v>4</v>
      </c>
      <c r="HM223">
        <v>7</v>
      </c>
    </row>
    <row r="224" spans="1:221" x14ac:dyDescent="0.25">
      <c r="A224">
        <v>4</v>
      </c>
      <c r="C224" t="s">
        <v>262</v>
      </c>
      <c r="D224">
        <v>6</v>
      </c>
      <c r="GH224">
        <v>7</v>
      </c>
    </row>
    <row r="225" spans="1:241" x14ac:dyDescent="0.25">
      <c r="A225">
        <v>5</v>
      </c>
      <c r="C225" t="s">
        <v>263</v>
      </c>
      <c r="D225">
        <v>7</v>
      </c>
      <c r="HR225">
        <v>8</v>
      </c>
    </row>
    <row r="226" spans="1:241" x14ac:dyDescent="0.25">
      <c r="A226">
        <v>5</v>
      </c>
      <c r="C226" t="s">
        <v>264</v>
      </c>
      <c r="D226">
        <v>5</v>
      </c>
      <c r="HR226">
        <v>8</v>
      </c>
    </row>
    <row r="227" spans="1:241" x14ac:dyDescent="0.25">
      <c r="A227">
        <v>5</v>
      </c>
      <c r="C227" t="s">
        <v>265</v>
      </c>
      <c r="D227">
        <v>5</v>
      </c>
      <c r="HR227">
        <v>7</v>
      </c>
    </row>
    <row r="228" spans="1:241" x14ac:dyDescent="0.25">
      <c r="A228">
        <v>5</v>
      </c>
      <c r="C228" t="s">
        <v>266</v>
      </c>
      <c r="D228">
        <v>5</v>
      </c>
      <c r="HR228">
        <v>7</v>
      </c>
    </row>
    <row r="229" spans="1:241" x14ac:dyDescent="0.25">
      <c r="A229">
        <v>2</v>
      </c>
      <c r="C229" t="s">
        <v>267</v>
      </c>
      <c r="D229">
        <v>10</v>
      </c>
      <c r="FW229">
        <v>10</v>
      </c>
    </row>
    <row r="230" spans="1:241" x14ac:dyDescent="0.25">
      <c r="A230">
        <v>3</v>
      </c>
      <c r="C230" t="s">
        <v>268</v>
      </c>
      <c r="D230">
        <v>8</v>
      </c>
      <c r="HW230">
        <v>10</v>
      </c>
    </row>
    <row r="231" spans="1:241" x14ac:dyDescent="0.25">
      <c r="A231">
        <v>3</v>
      </c>
      <c r="C231" t="s">
        <v>269</v>
      </c>
      <c r="HW231">
        <v>10</v>
      </c>
    </row>
    <row r="232" spans="1:241" x14ac:dyDescent="0.25">
      <c r="A232">
        <v>3</v>
      </c>
      <c r="C232" t="s">
        <v>270</v>
      </c>
      <c r="D232">
        <v>4</v>
      </c>
      <c r="HW232">
        <v>9</v>
      </c>
    </row>
    <row r="233" spans="1:241" x14ac:dyDescent="0.25">
      <c r="A233">
        <v>3</v>
      </c>
      <c r="C233" t="s">
        <v>271</v>
      </c>
      <c r="D233">
        <v>8</v>
      </c>
      <c r="HW233">
        <v>7</v>
      </c>
    </row>
    <row r="234" spans="1:241" x14ac:dyDescent="0.25">
      <c r="A234">
        <v>2</v>
      </c>
      <c r="C234" t="s">
        <v>272</v>
      </c>
      <c r="D234">
        <v>9</v>
      </c>
      <c r="FW234">
        <v>10</v>
      </c>
    </row>
    <row r="235" spans="1:241" x14ac:dyDescent="0.25">
      <c r="A235">
        <v>3</v>
      </c>
      <c r="C235" t="s">
        <v>273</v>
      </c>
      <c r="D235">
        <v>10</v>
      </c>
      <c r="IB235">
        <v>10</v>
      </c>
    </row>
    <row r="236" spans="1:241" x14ac:dyDescent="0.25">
      <c r="A236">
        <v>3</v>
      </c>
      <c r="C236" t="s">
        <v>274</v>
      </c>
      <c r="D236">
        <v>8</v>
      </c>
      <c r="IB236">
        <v>10</v>
      </c>
    </row>
    <row r="237" spans="1:241" x14ac:dyDescent="0.25">
      <c r="A237">
        <v>3</v>
      </c>
      <c r="C237" t="s">
        <v>275</v>
      </c>
      <c r="D237">
        <v>8</v>
      </c>
      <c r="IB237">
        <v>9</v>
      </c>
    </row>
    <row r="238" spans="1:241" x14ac:dyDescent="0.25">
      <c r="A238">
        <v>3</v>
      </c>
      <c r="C238" t="s">
        <v>276</v>
      </c>
      <c r="D238">
        <v>10</v>
      </c>
      <c r="IB238">
        <v>7</v>
      </c>
    </row>
    <row r="239" spans="1:241" x14ac:dyDescent="0.25">
      <c r="A239">
        <v>2</v>
      </c>
      <c r="C239" t="s">
        <v>277</v>
      </c>
      <c r="D239">
        <v>5</v>
      </c>
      <c r="FW239">
        <v>8</v>
      </c>
    </row>
    <row r="240" spans="1:241" x14ac:dyDescent="0.25">
      <c r="A240">
        <v>3</v>
      </c>
      <c r="C240" t="s">
        <v>50</v>
      </c>
      <c r="D240">
        <v>6</v>
      </c>
      <c r="IG240">
        <v>10</v>
      </c>
    </row>
    <row r="241" spans="1:255" x14ac:dyDescent="0.25">
      <c r="A241">
        <v>3</v>
      </c>
      <c r="C241" t="s">
        <v>51</v>
      </c>
      <c r="D241">
        <v>8</v>
      </c>
      <c r="IG241">
        <v>10</v>
      </c>
    </row>
    <row r="242" spans="1:255" x14ac:dyDescent="0.25">
      <c r="A242">
        <v>3</v>
      </c>
      <c r="C242" t="s">
        <v>52</v>
      </c>
      <c r="D242">
        <v>4</v>
      </c>
      <c r="IG242">
        <v>9</v>
      </c>
    </row>
    <row r="243" spans="1:255" x14ac:dyDescent="0.25">
      <c r="A243">
        <v>3</v>
      </c>
      <c r="C243" t="s">
        <v>53</v>
      </c>
      <c r="D243">
        <v>4</v>
      </c>
      <c r="IG243">
        <v>8</v>
      </c>
    </row>
    <row r="244" spans="1:255" x14ac:dyDescent="0.25">
      <c r="A244">
        <v>3</v>
      </c>
      <c r="C244" t="s">
        <v>54</v>
      </c>
      <c r="D244">
        <v>3</v>
      </c>
      <c r="IG244">
        <v>7</v>
      </c>
    </row>
    <row r="245" spans="1:255" x14ac:dyDescent="0.25">
      <c r="A245">
        <v>2</v>
      </c>
      <c r="C245" t="s">
        <v>278</v>
      </c>
      <c r="D245">
        <v>4</v>
      </c>
      <c r="FW245">
        <v>7</v>
      </c>
    </row>
    <row r="246" spans="1:255" x14ac:dyDescent="0.25">
      <c r="A246">
        <v>3</v>
      </c>
      <c r="C246" t="s">
        <v>55</v>
      </c>
      <c r="D246">
        <v>4</v>
      </c>
      <c r="IM246">
        <v>7</v>
      </c>
    </row>
    <row r="247" spans="1:255" x14ac:dyDescent="0.25">
      <c r="A247">
        <v>3</v>
      </c>
      <c r="C247" t="s">
        <v>56</v>
      </c>
      <c r="D247">
        <v>5</v>
      </c>
      <c r="IM247">
        <v>7</v>
      </c>
    </row>
    <row r="248" spans="1:255" x14ac:dyDescent="0.25">
      <c r="A248">
        <v>3</v>
      </c>
      <c r="C248" t="s">
        <v>57</v>
      </c>
      <c r="D248">
        <v>4</v>
      </c>
      <c r="IM248">
        <v>8</v>
      </c>
    </row>
    <row r="249" spans="1:255" x14ac:dyDescent="0.25">
      <c r="A249">
        <v>3</v>
      </c>
      <c r="C249" t="s">
        <v>58</v>
      </c>
      <c r="D249">
        <v>4</v>
      </c>
      <c r="IM249">
        <v>10</v>
      </c>
    </row>
    <row r="250" spans="1:255" x14ac:dyDescent="0.25">
      <c r="A250">
        <v>1</v>
      </c>
      <c r="C250" t="s">
        <v>279</v>
      </c>
      <c r="D250">
        <v>10</v>
      </c>
      <c r="E250">
        <v>8</v>
      </c>
    </row>
    <row r="251" spans="1:255" x14ac:dyDescent="0.25">
      <c r="A251">
        <v>2</v>
      </c>
      <c r="C251" t="s">
        <v>280</v>
      </c>
      <c r="D251">
        <v>10</v>
      </c>
      <c r="IR251">
        <v>6</v>
      </c>
    </row>
    <row r="252" spans="1:255" x14ac:dyDescent="0.25">
      <c r="A252">
        <v>3</v>
      </c>
      <c r="C252" t="s">
        <v>281</v>
      </c>
      <c r="D252">
        <v>5</v>
      </c>
      <c r="IS252">
        <v>7</v>
      </c>
    </row>
    <row r="253" spans="1:255" x14ac:dyDescent="0.25">
      <c r="A253">
        <v>3</v>
      </c>
      <c r="C253" t="s">
        <v>59</v>
      </c>
      <c r="D253">
        <v>5</v>
      </c>
      <c r="IS253">
        <v>6</v>
      </c>
    </row>
    <row r="254" spans="1:255" x14ac:dyDescent="0.25">
      <c r="A254">
        <v>4</v>
      </c>
      <c r="C254" t="s">
        <v>282</v>
      </c>
      <c r="D254">
        <v>7</v>
      </c>
      <c r="IU254">
        <v>9</v>
      </c>
    </row>
    <row r="255" spans="1:255" x14ac:dyDescent="0.25">
      <c r="A255">
        <v>4</v>
      </c>
      <c r="C255" t="s">
        <v>283</v>
      </c>
      <c r="D255">
        <v>7</v>
      </c>
      <c r="IU255">
        <v>8</v>
      </c>
    </row>
    <row r="256" spans="1:255" x14ac:dyDescent="0.25">
      <c r="A256">
        <v>3</v>
      </c>
      <c r="C256" t="s">
        <v>60</v>
      </c>
      <c r="D256">
        <v>4</v>
      </c>
      <c r="IS256">
        <v>5</v>
      </c>
    </row>
    <row r="257" spans="1:272" x14ac:dyDescent="0.25">
      <c r="A257">
        <v>3</v>
      </c>
      <c r="C257" t="s">
        <v>61</v>
      </c>
      <c r="D257">
        <v>5</v>
      </c>
      <c r="IS257">
        <v>5</v>
      </c>
    </row>
    <row r="258" spans="1:272" x14ac:dyDescent="0.25">
      <c r="A258">
        <v>3</v>
      </c>
      <c r="C258" t="s">
        <v>62</v>
      </c>
      <c r="IS258">
        <v>7</v>
      </c>
    </row>
    <row r="259" spans="1:272" x14ac:dyDescent="0.25">
      <c r="A259">
        <v>2</v>
      </c>
      <c r="C259" t="s">
        <v>63</v>
      </c>
      <c r="D259">
        <v>4</v>
      </c>
      <c r="IR259">
        <v>5</v>
      </c>
    </row>
    <row r="260" spans="1:272" x14ac:dyDescent="0.25">
      <c r="A260">
        <v>3</v>
      </c>
      <c r="C260" t="s">
        <v>64</v>
      </c>
      <c r="D260">
        <v>4</v>
      </c>
      <c r="JA260">
        <v>6</v>
      </c>
    </row>
    <row r="261" spans="1:272" x14ac:dyDescent="0.25">
      <c r="A261">
        <v>3</v>
      </c>
      <c r="C261" t="s">
        <v>65</v>
      </c>
      <c r="JA261">
        <v>6</v>
      </c>
    </row>
    <row r="262" spans="1:272" x14ac:dyDescent="0.25">
      <c r="A262">
        <v>2</v>
      </c>
      <c r="C262" t="s">
        <v>66</v>
      </c>
      <c r="D262">
        <v>10</v>
      </c>
      <c r="IR262">
        <v>5</v>
      </c>
    </row>
    <row r="263" spans="1:272" x14ac:dyDescent="0.25">
      <c r="A263">
        <v>3</v>
      </c>
      <c r="C263" t="s">
        <v>284</v>
      </c>
      <c r="D263">
        <v>4</v>
      </c>
      <c r="JD263">
        <v>7</v>
      </c>
    </row>
    <row r="264" spans="1:272" x14ac:dyDescent="0.25">
      <c r="A264">
        <v>3</v>
      </c>
      <c r="C264" t="s">
        <v>285</v>
      </c>
      <c r="D264">
        <v>7</v>
      </c>
      <c r="JD264">
        <v>5</v>
      </c>
    </row>
    <row r="265" spans="1:272" x14ac:dyDescent="0.25">
      <c r="A265">
        <v>3</v>
      </c>
      <c r="C265" t="s">
        <v>286</v>
      </c>
      <c r="D265">
        <v>5</v>
      </c>
      <c r="JD265">
        <v>7</v>
      </c>
    </row>
    <row r="266" spans="1:272" x14ac:dyDescent="0.25">
      <c r="A266">
        <v>3</v>
      </c>
      <c r="C266" t="s">
        <v>287</v>
      </c>
      <c r="D266">
        <v>10</v>
      </c>
      <c r="JD266">
        <v>5</v>
      </c>
    </row>
    <row r="267" spans="1:272" x14ac:dyDescent="0.25">
      <c r="A267">
        <v>3</v>
      </c>
      <c r="C267" t="s">
        <v>288</v>
      </c>
      <c r="D267">
        <v>10</v>
      </c>
      <c r="JD267">
        <v>2</v>
      </c>
    </row>
    <row r="268" spans="1:272" x14ac:dyDescent="0.25">
      <c r="A268">
        <v>2</v>
      </c>
      <c r="C268" t="s">
        <v>67</v>
      </c>
      <c r="D268">
        <v>3</v>
      </c>
      <c r="IR268">
        <v>7</v>
      </c>
    </row>
    <row r="269" spans="1:272" x14ac:dyDescent="0.25">
      <c r="A269">
        <v>1</v>
      </c>
      <c r="C269" t="s">
        <v>289</v>
      </c>
      <c r="D269">
        <v>6</v>
      </c>
      <c r="E269">
        <v>6</v>
      </c>
      <c r="JJ269">
        <v>9</v>
      </c>
    </row>
    <row r="270" spans="1:272" x14ac:dyDescent="0.25">
      <c r="A270">
        <v>2</v>
      </c>
      <c r="C270" t="s">
        <v>68</v>
      </c>
      <c r="D270">
        <v>8</v>
      </c>
      <c r="JK270">
        <v>8</v>
      </c>
    </row>
    <row r="271" spans="1:272" x14ac:dyDescent="0.25">
      <c r="A271">
        <v>3</v>
      </c>
      <c r="C271" t="s">
        <v>69</v>
      </c>
      <c r="D271">
        <v>5</v>
      </c>
      <c r="JL271">
        <v>8</v>
      </c>
    </row>
    <row r="272" spans="1:272" x14ac:dyDescent="0.25">
      <c r="A272">
        <v>3</v>
      </c>
      <c r="C272" t="s">
        <v>70</v>
      </c>
      <c r="D272">
        <v>4</v>
      </c>
      <c r="JL272">
        <v>7</v>
      </c>
    </row>
    <row r="273" spans="1:289" x14ac:dyDescent="0.25">
      <c r="A273">
        <v>2</v>
      </c>
      <c r="C273" t="s">
        <v>71</v>
      </c>
      <c r="D273">
        <v>5</v>
      </c>
      <c r="JK273">
        <v>7</v>
      </c>
    </row>
    <row r="274" spans="1:289" x14ac:dyDescent="0.25">
      <c r="A274">
        <v>3</v>
      </c>
      <c r="C274" t="s">
        <v>72</v>
      </c>
      <c r="D274">
        <v>5</v>
      </c>
      <c r="JO274">
        <v>8</v>
      </c>
    </row>
    <row r="275" spans="1:289" x14ac:dyDescent="0.25">
      <c r="A275">
        <v>3</v>
      </c>
      <c r="C275" t="s">
        <v>73</v>
      </c>
      <c r="D275">
        <v>5</v>
      </c>
      <c r="JO275">
        <v>7</v>
      </c>
    </row>
    <row r="276" spans="1:289" x14ac:dyDescent="0.25">
      <c r="A276">
        <v>2</v>
      </c>
      <c r="C276" t="s">
        <v>74</v>
      </c>
      <c r="D276">
        <v>6</v>
      </c>
      <c r="JK276">
        <v>7</v>
      </c>
    </row>
    <row r="277" spans="1:289" x14ac:dyDescent="0.25">
      <c r="A277">
        <v>3</v>
      </c>
      <c r="C277" t="s">
        <v>75</v>
      </c>
      <c r="D277">
        <v>6</v>
      </c>
      <c r="JR277">
        <v>8</v>
      </c>
    </row>
    <row r="278" spans="1:289" x14ac:dyDescent="0.25">
      <c r="A278">
        <v>3</v>
      </c>
      <c r="C278" t="s">
        <v>76</v>
      </c>
      <c r="D278">
        <v>5</v>
      </c>
      <c r="JR278">
        <v>7</v>
      </c>
    </row>
    <row r="279" spans="1:289" x14ac:dyDescent="0.25">
      <c r="A279">
        <v>2</v>
      </c>
      <c r="C279" t="s">
        <v>77</v>
      </c>
      <c r="D279">
        <v>5</v>
      </c>
      <c r="JK279">
        <v>7</v>
      </c>
    </row>
    <row r="280" spans="1:289" x14ac:dyDescent="0.25">
      <c r="A280">
        <v>1</v>
      </c>
      <c r="C280" t="s">
        <v>290</v>
      </c>
      <c r="D280">
        <v>5</v>
      </c>
      <c r="E280">
        <v>4</v>
      </c>
    </row>
    <row r="281" spans="1:289" x14ac:dyDescent="0.25">
      <c r="A281">
        <v>2</v>
      </c>
      <c r="C281" t="s">
        <v>78</v>
      </c>
      <c r="D281">
        <v>5</v>
      </c>
      <c r="JV281">
        <v>6</v>
      </c>
    </row>
    <row r="282" spans="1:289" x14ac:dyDescent="0.25">
      <c r="A282">
        <v>2</v>
      </c>
      <c r="C282" t="s">
        <v>291</v>
      </c>
      <c r="D282">
        <v>4</v>
      </c>
      <c r="JV282">
        <v>5</v>
      </c>
    </row>
    <row r="283" spans="1:289" x14ac:dyDescent="0.25">
      <c r="A283">
        <v>2</v>
      </c>
      <c r="C283" t="s">
        <v>79</v>
      </c>
      <c r="D283">
        <v>4</v>
      </c>
      <c r="JV283">
        <v>5</v>
      </c>
    </row>
    <row r="284" spans="1:289" x14ac:dyDescent="0.25">
      <c r="A284">
        <v>2</v>
      </c>
      <c r="C284" t="s">
        <v>292</v>
      </c>
      <c r="D284">
        <v>6</v>
      </c>
      <c r="JV284">
        <v>7</v>
      </c>
    </row>
    <row r="285" spans="1:289" x14ac:dyDescent="0.25">
      <c r="A285">
        <v>2</v>
      </c>
      <c r="C285" t="s">
        <v>80</v>
      </c>
      <c r="D285">
        <v>4</v>
      </c>
      <c r="JV285">
        <v>7</v>
      </c>
    </row>
    <row r="286" spans="1:289" x14ac:dyDescent="0.25">
      <c r="A286">
        <v>1</v>
      </c>
      <c r="C286" t="s">
        <v>81</v>
      </c>
      <c r="D286">
        <v>5</v>
      </c>
      <c r="E286">
        <v>5</v>
      </c>
    </row>
    <row r="287" spans="1:289" x14ac:dyDescent="0.25">
      <c r="A287">
        <v>2</v>
      </c>
      <c r="C287" t="s">
        <v>82</v>
      </c>
      <c r="D287">
        <v>5</v>
      </c>
      <c r="KB287">
        <v>6</v>
      </c>
    </row>
    <row r="288" spans="1:289" x14ac:dyDescent="0.25">
      <c r="A288">
        <v>3</v>
      </c>
      <c r="C288" t="s">
        <v>293</v>
      </c>
      <c r="D288">
        <v>4</v>
      </c>
      <c r="KC288">
        <v>7</v>
      </c>
    </row>
    <row r="289" spans="1:302" x14ac:dyDescent="0.25">
      <c r="A289">
        <v>3</v>
      </c>
      <c r="C289" t="s">
        <v>294</v>
      </c>
      <c r="D289">
        <v>4</v>
      </c>
      <c r="KC289">
        <v>7</v>
      </c>
    </row>
    <row r="290" spans="1:302" x14ac:dyDescent="0.25">
      <c r="A290">
        <v>4</v>
      </c>
      <c r="C290" t="s">
        <v>295</v>
      </c>
      <c r="D290">
        <v>5</v>
      </c>
      <c r="KE290">
        <v>9</v>
      </c>
    </row>
    <row r="291" spans="1:302" x14ac:dyDescent="0.25">
      <c r="A291">
        <v>4</v>
      </c>
      <c r="C291" t="s">
        <v>296</v>
      </c>
      <c r="D291">
        <v>5</v>
      </c>
      <c r="KE291">
        <v>7</v>
      </c>
    </row>
    <row r="292" spans="1:302" x14ac:dyDescent="0.25">
      <c r="A292">
        <v>4</v>
      </c>
      <c r="C292" t="s">
        <v>297</v>
      </c>
      <c r="D292">
        <v>6</v>
      </c>
      <c r="KE292">
        <v>9</v>
      </c>
    </row>
    <row r="293" spans="1:302" x14ac:dyDescent="0.25">
      <c r="A293">
        <v>3</v>
      </c>
      <c r="C293" t="s">
        <v>298</v>
      </c>
      <c r="KC293">
        <v>5</v>
      </c>
    </row>
    <row r="294" spans="1:302" x14ac:dyDescent="0.25">
      <c r="A294">
        <v>3</v>
      </c>
      <c r="C294" t="s">
        <v>299</v>
      </c>
      <c r="KC294">
        <v>5</v>
      </c>
    </row>
    <row r="295" spans="1:302" x14ac:dyDescent="0.25">
      <c r="A295">
        <v>3</v>
      </c>
      <c r="C295" t="s">
        <v>300</v>
      </c>
      <c r="KC295">
        <v>4</v>
      </c>
    </row>
    <row r="296" spans="1:302" x14ac:dyDescent="0.25">
      <c r="A296">
        <v>3</v>
      </c>
      <c r="C296" t="s">
        <v>301</v>
      </c>
      <c r="D296">
        <v>2</v>
      </c>
      <c r="KC296">
        <v>6</v>
      </c>
    </row>
    <row r="297" spans="1:302" x14ac:dyDescent="0.25">
      <c r="A297">
        <v>2</v>
      </c>
      <c r="C297" t="s">
        <v>302</v>
      </c>
      <c r="D297">
        <v>6</v>
      </c>
      <c r="KB297">
        <v>8</v>
      </c>
    </row>
    <row r="298" spans="1:302" x14ac:dyDescent="0.25">
      <c r="A298">
        <v>2</v>
      </c>
      <c r="C298" t="s">
        <v>303</v>
      </c>
      <c r="D298">
        <v>6</v>
      </c>
      <c r="KB298">
        <v>8</v>
      </c>
    </row>
    <row r="299" spans="1:302" x14ac:dyDescent="0.25">
      <c r="A299">
        <v>1</v>
      </c>
      <c r="C299" t="s">
        <v>304</v>
      </c>
      <c r="D299">
        <v>6</v>
      </c>
      <c r="E299">
        <v>6</v>
      </c>
    </row>
    <row r="300" spans="1:302" x14ac:dyDescent="0.25">
      <c r="A300">
        <v>2</v>
      </c>
      <c r="C300" t="s">
        <v>305</v>
      </c>
      <c r="D300">
        <v>6</v>
      </c>
      <c r="KO300">
        <v>6</v>
      </c>
    </row>
    <row r="301" spans="1:302" x14ac:dyDescent="0.25">
      <c r="A301">
        <v>3</v>
      </c>
      <c r="C301" t="s">
        <v>306</v>
      </c>
      <c r="D301">
        <v>5</v>
      </c>
      <c r="KP301">
        <v>10</v>
      </c>
    </row>
    <row r="302" spans="1:302" x14ac:dyDescent="0.25">
      <c r="A302">
        <v>3</v>
      </c>
      <c r="C302" t="s">
        <v>307</v>
      </c>
      <c r="D302">
        <v>5</v>
      </c>
      <c r="KP302">
        <v>10</v>
      </c>
    </row>
    <row r="303" spans="1:302" x14ac:dyDescent="0.25">
      <c r="A303">
        <v>3</v>
      </c>
      <c r="C303" t="s">
        <v>308</v>
      </c>
      <c r="D303">
        <v>4</v>
      </c>
      <c r="KP303">
        <v>8</v>
      </c>
    </row>
    <row r="304" spans="1:302" x14ac:dyDescent="0.25">
      <c r="A304">
        <v>2</v>
      </c>
      <c r="C304" t="s">
        <v>309</v>
      </c>
      <c r="D304">
        <v>5</v>
      </c>
      <c r="KO304">
        <v>7</v>
      </c>
    </row>
    <row r="305" spans="1:307" x14ac:dyDescent="0.25">
      <c r="A305">
        <v>1</v>
      </c>
      <c r="C305" t="s">
        <v>310</v>
      </c>
      <c r="D305">
        <v>5</v>
      </c>
      <c r="E305">
        <v>2</v>
      </c>
      <c r="KT305">
        <v>10</v>
      </c>
    </row>
    <row r="306" spans="1:307" x14ac:dyDescent="0.25">
      <c r="A306">
        <v>2</v>
      </c>
      <c r="C306" t="s">
        <v>83</v>
      </c>
      <c r="D306">
        <v>6</v>
      </c>
      <c r="KU306">
        <v>4</v>
      </c>
    </row>
    <row r="307" spans="1:307" x14ac:dyDescent="0.25">
      <c r="A307">
        <v>2</v>
      </c>
      <c r="C307" t="s">
        <v>95</v>
      </c>
      <c r="D307">
        <v>2</v>
      </c>
      <c r="KU307">
        <v>5</v>
      </c>
    </row>
  </sheetData>
  <autoFilter ref="A1:A307"/>
  <mergeCells count="1">
    <mergeCell ref="B1:B8"/>
  </mergeCell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C4"/>
  <sheetViews>
    <sheetView workbookViewId="0"/>
  </sheetViews>
  <sheetFormatPr defaultRowHeight="15" x14ac:dyDescent="0.25"/>
  <cols>
    <col min="1" max="1" width="2.7109375" bestFit="1" customWidth="1"/>
    <col min="2" max="2" width="5.7109375" bestFit="1" customWidth="1"/>
    <col min="3" max="3" width="7.85546875" bestFit="1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>
        <v>0</v>
      </c>
    </row>
    <row r="3" spans="1:3" x14ac:dyDescent="0.25">
      <c r="A3">
        <v>1</v>
      </c>
    </row>
    <row r="4" spans="1:3" x14ac:dyDescent="0.25">
      <c r="A4">
        <v>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G3"/>
  <sheetViews>
    <sheetView workbookViewId="0"/>
  </sheetViews>
  <sheetFormatPr defaultRowHeight="15" x14ac:dyDescent="0.25"/>
  <cols>
    <col min="1" max="1" width="7" bestFit="1" customWidth="1"/>
    <col min="2" max="2" width="6.5703125" bestFit="1" customWidth="1"/>
    <col min="3" max="3" width="8.5703125" bestFit="1" customWidth="1"/>
    <col min="4" max="4" width="2.7109375" bestFit="1" customWidth="1"/>
    <col min="5" max="5" width="5.7109375" bestFit="1" customWidth="1"/>
    <col min="6" max="6" width="7.85546875" bestFit="1" customWidth="1"/>
    <col min="7" max="7" width="7.42578125" bestFit="1" customWidth="1"/>
  </cols>
  <sheetData>
    <row r="1" spans="1:7" x14ac:dyDescent="0.25">
      <c r="A1" t="s">
        <v>628</v>
      </c>
      <c r="B1" t="s">
        <v>3</v>
      </c>
      <c r="C1" t="s">
        <v>629</v>
      </c>
      <c r="D1" t="s">
        <v>0</v>
      </c>
      <c r="E1" t="s">
        <v>1</v>
      </c>
      <c r="F1" t="s">
        <v>2</v>
      </c>
      <c r="G1" t="s">
        <v>4</v>
      </c>
    </row>
    <row r="2" spans="1:7" x14ac:dyDescent="0.25">
      <c r="A2">
        <v>0</v>
      </c>
      <c r="B2">
        <v>1</v>
      </c>
      <c r="C2" t="s">
        <v>630</v>
      </c>
      <c r="D2">
        <v>0</v>
      </c>
      <c r="G2">
        <v>1</v>
      </c>
    </row>
    <row r="3" spans="1:7" x14ac:dyDescent="0.25">
      <c r="A3">
        <v>0</v>
      </c>
      <c r="B3">
        <v>2</v>
      </c>
      <c r="C3" t="s">
        <v>630</v>
      </c>
      <c r="D3">
        <v>1</v>
      </c>
      <c r="G3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tabColor rgb="FF00B050"/>
  </sheetPr>
  <dimension ref="A1:C47"/>
  <sheetViews>
    <sheetView workbookViewId="0">
      <selection activeCell="A2" sqref="A2"/>
    </sheetView>
  </sheetViews>
  <sheetFormatPr defaultRowHeight="15" x14ac:dyDescent="0.25"/>
  <cols>
    <col min="1" max="1" width="5" customWidth="1"/>
    <col min="2" max="2" width="10" customWidth="1"/>
    <col min="3" max="3" width="7.85546875" bestFit="1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>
        <f>weight_E!A2</f>
        <v>0</v>
      </c>
      <c r="B2" t="str">
        <f>weight_E!B2</f>
        <v>0</v>
      </c>
    </row>
    <row r="3" spans="1:3" x14ac:dyDescent="0.25">
      <c r="A3">
        <f>weight_E!A3</f>
        <v>1</v>
      </c>
      <c r="B3" t="str">
        <f>weight_E!B3</f>
        <v>1</v>
      </c>
    </row>
    <row r="4" spans="1:3" x14ac:dyDescent="0.25">
      <c r="A4">
        <f>weight_E!A4</f>
        <v>2</v>
      </c>
      <c r="B4" t="str">
        <f>weight_E!B4</f>
        <v>1a</v>
      </c>
    </row>
    <row r="5" spans="1:3" x14ac:dyDescent="0.25">
      <c r="A5">
        <f>weight_E!A5</f>
        <v>3</v>
      </c>
      <c r="B5" t="str">
        <f>weight_E!B5</f>
        <v>1a1</v>
      </c>
    </row>
    <row r="6" spans="1:3" x14ac:dyDescent="0.25">
      <c r="A6">
        <f>weight_E!A6</f>
        <v>4</v>
      </c>
      <c r="B6" t="str">
        <f>weight_E!B6</f>
        <v>1a2</v>
      </c>
    </row>
    <row r="7" spans="1:3" x14ac:dyDescent="0.25">
      <c r="A7">
        <f>weight_E!A7</f>
        <v>5</v>
      </c>
      <c r="B7" t="str">
        <f>weight_E!B7</f>
        <v>1a3</v>
      </c>
    </row>
    <row r="8" spans="1:3" x14ac:dyDescent="0.25">
      <c r="A8">
        <f>weight_E!A8</f>
        <v>6</v>
      </c>
      <c r="B8" t="str">
        <f>weight_E!B8</f>
        <v>1b</v>
      </c>
    </row>
    <row r="9" spans="1:3" x14ac:dyDescent="0.25">
      <c r="A9">
        <f>weight_E!A9</f>
        <v>7</v>
      </c>
      <c r="B9" t="str">
        <f>weight_E!B9</f>
        <v>1b1</v>
      </c>
    </row>
    <row r="10" spans="1:3" x14ac:dyDescent="0.25">
      <c r="A10">
        <f>weight_E!A10</f>
        <v>8</v>
      </c>
      <c r="B10" t="str">
        <f>weight_E!B10</f>
        <v>1b2</v>
      </c>
    </row>
    <row r="11" spans="1:3" x14ac:dyDescent="0.25">
      <c r="A11">
        <f>weight_E!A11</f>
        <v>9</v>
      </c>
      <c r="B11" t="str">
        <f>weight_E!B11</f>
        <v>1c</v>
      </c>
    </row>
    <row r="12" spans="1:3" x14ac:dyDescent="0.25">
      <c r="A12">
        <f>weight_E!A12</f>
        <v>10</v>
      </c>
      <c r="B12" t="str">
        <f>weight_E!B12</f>
        <v>1c1</v>
      </c>
    </row>
    <row r="13" spans="1:3" x14ac:dyDescent="0.25">
      <c r="A13">
        <f>weight_E!A13</f>
        <v>11</v>
      </c>
      <c r="B13" t="str">
        <f>weight_E!B13</f>
        <v>1c2</v>
      </c>
    </row>
    <row r="14" spans="1:3" x14ac:dyDescent="0.25">
      <c r="A14">
        <f>weight_E!A14</f>
        <v>12</v>
      </c>
      <c r="B14" t="str">
        <f>weight_E!B14</f>
        <v>1c3</v>
      </c>
    </row>
    <row r="15" spans="1:3" x14ac:dyDescent="0.25">
      <c r="A15">
        <f>weight_E!A15</f>
        <v>13</v>
      </c>
      <c r="B15" t="str">
        <f>weight_E!B15</f>
        <v>1c4</v>
      </c>
    </row>
    <row r="16" spans="1:3" x14ac:dyDescent="0.25">
      <c r="A16">
        <f>weight_E!A16</f>
        <v>14</v>
      </c>
      <c r="B16" t="str">
        <f>weight_E!B16</f>
        <v>1c5</v>
      </c>
    </row>
    <row r="17" spans="1:2" x14ac:dyDescent="0.25">
      <c r="A17">
        <f>weight_E!A17</f>
        <v>15</v>
      </c>
      <c r="B17" t="str">
        <f>weight_E!B17</f>
        <v>1c6</v>
      </c>
    </row>
    <row r="18" spans="1:2" x14ac:dyDescent="0.25">
      <c r="A18">
        <f>weight_E!A18</f>
        <v>16</v>
      </c>
      <c r="B18" t="str">
        <f>weight_E!B18</f>
        <v>1c7</v>
      </c>
    </row>
    <row r="19" spans="1:2" x14ac:dyDescent="0.25">
      <c r="A19">
        <f>weight_E!A19</f>
        <v>17</v>
      </c>
      <c r="B19" t="str">
        <f>weight_E!B19</f>
        <v>2</v>
      </c>
    </row>
    <row r="20" spans="1:2" x14ac:dyDescent="0.25">
      <c r="A20">
        <f>weight_E!A20</f>
        <v>18</v>
      </c>
      <c r="B20" t="str">
        <f>weight_E!B20</f>
        <v>2a</v>
      </c>
    </row>
    <row r="21" spans="1:2" x14ac:dyDescent="0.25">
      <c r="A21">
        <f>weight_E!A21</f>
        <v>19</v>
      </c>
      <c r="B21" t="str">
        <f>weight_E!B21</f>
        <v>2a1</v>
      </c>
    </row>
    <row r="22" spans="1:2" x14ac:dyDescent="0.25">
      <c r="A22">
        <f>weight_E!A22</f>
        <v>20</v>
      </c>
      <c r="B22" t="str">
        <f>weight_E!B22</f>
        <v>2a2</v>
      </c>
    </row>
    <row r="23" spans="1:2" x14ac:dyDescent="0.25">
      <c r="A23">
        <f>weight_E!A23</f>
        <v>21</v>
      </c>
      <c r="B23" t="str">
        <f>weight_E!B23</f>
        <v>2a3</v>
      </c>
    </row>
    <row r="24" spans="1:2" x14ac:dyDescent="0.25">
      <c r="A24">
        <f>weight_E!A24</f>
        <v>22</v>
      </c>
      <c r="B24" t="str">
        <f>weight_E!B24</f>
        <v>2b</v>
      </c>
    </row>
    <row r="25" spans="1:2" x14ac:dyDescent="0.25">
      <c r="A25">
        <f>weight_E!A25</f>
        <v>23</v>
      </c>
      <c r="B25" t="str">
        <f>weight_E!B25</f>
        <v>2b1</v>
      </c>
    </row>
    <row r="26" spans="1:2" x14ac:dyDescent="0.25">
      <c r="A26">
        <f>weight_E!A26</f>
        <v>24</v>
      </c>
      <c r="B26" t="str">
        <f>weight_E!B26</f>
        <v>2b2</v>
      </c>
    </row>
    <row r="27" spans="1:2" x14ac:dyDescent="0.25">
      <c r="A27">
        <f>weight_E!A27</f>
        <v>25</v>
      </c>
      <c r="B27" t="str">
        <f>weight_E!B27</f>
        <v>2b3</v>
      </c>
    </row>
    <row r="28" spans="1:2" x14ac:dyDescent="0.25">
      <c r="A28">
        <f>weight_E!A28</f>
        <v>26</v>
      </c>
      <c r="B28" t="str">
        <f>weight_E!B28</f>
        <v>2c</v>
      </c>
    </row>
    <row r="29" spans="1:2" x14ac:dyDescent="0.25">
      <c r="A29">
        <f>weight_E!A29</f>
        <v>27</v>
      </c>
      <c r="B29" t="str">
        <f>weight_E!B29</f>
        <v>2c1</v>
      </c>
    </row>
    <row r="30" spans="1:2" x14ac:dyDescent="0.25">
      <c r="A30">
        <f>weight_E!A30</f>
        <v>28</v>
      </c>
      <c r="B30" t="str">
        <f>weight_E!B30</f>
        <v>2c2</v>
      </c>
    </row>
    <row r="31" spans="1:2" x14ac:dyDescent="0.25">
      <c r="A31">
        <f>weight_E!A31</f>
        <v>29</v>
      </c>
      <c r="B31" t="str">
        <f>weight_E!B31</f>
        <v>2c3</v>
      </c>
    </row>
    <row r="32" spans="1:2" x14ac:dyDescent="0.25">
      <c r="A32">
        <f>weight_E!A32</f>
        <v>30</v>
      </c>
      <c r="B32" t="str">
        <f>weight_E!B32</f>
        <v>2c4</v>
      </c>
    </row>
    <row r="33" spans="1:2" x14ac:dyDescent="0.25">
      <c r="A33">
        <f>weight_E!A33</f>
        <v>31</v>
      </c>
      <c r="B33" t="str">
        <f>weight_E!B33</f>
        <v>2d</v>
      </c>
    </row>
    <row r="34" spans="1:2" x14ac:dyDescent="0.25">
      <c r="A34">
        <f>weight_E!A34</f>
        <v>32</v>
      </c>
      <c r="B34" t="str">
        <f>weight_E!B34</f>
        <v>2d1</v>
      </c>
    </row>
    <row r="35" spans="1:2" x14ac:dyDescent="0.25">
      <c r="A35">
        <f>weight_E!A35</f>
        <v>33</v>
      </c>
      <c r="B35" t="str">
        <f>weight_E!B35</f>
        <v>2d1a</v>
      </c>
    </row>
    <row r="36" spans="1:2" x14ac:dyDescent="0.25">
      <c r="A36">
        <f>weight_E!A36</f>
        <v>34</v>
      </c>
      <c r="B36" t="str">
        <f>weight_E!B36</f>
        <v>2d1b</v>
      </c>
    </row>
    <row r="37" spans="1:2" x14ac:dyDescent="0.25">
      <c r="A37">
        <f>weight_E!A37</f>
        <v>35</v>
      </c>
      <c r="B37" t="str">
        <f>weight_E!B37</f>
        <v>2d1c</v>
      </c>
    </row>
    <row r="38" spans="1:2" x14ac:dyDescent="0.25">
      <c r="A38">
        <f>weight_E!A38</f>
        <v>36</v>
      </c>
      <c r="B38" t="str">
        <f>weight_E!B38</f>
        <v>2d1d</v>
      </c>
    </row>
    <row r="39" spans="1:2" x14ac:dyDescent="0.25">
      <c r="A39">
        <f>weight_E!A39</f>
        <v>37</v>
      </c>
      <c r="B39" t="str">
        <f>weight_E!B39</f>
        <v>2d2</v>
      </c>
    </row>
    <row r="40" spans="1:2" x14ac:dyDescent="0.25">
      <c r="A40">
        <f>weight_E!A40</f>
        <v>38</v>
      </c>
      <c r="B40" t="str">
        <f>weight_E!B40</f>
        <v>2e</v>
      </c>
    </row>
    <row r="41" spans="1:2" x14ac:dyDescent="0.25">
      <c r="A41">
        <f>weight_E!A41</f>
        <v>39</v>
      </c>
      <c r="B41" t="str">
        <f>weight_E!B41</f>
        <v>2e1</v>
      </c>
    </row>
    <row r="42" spans="1:2" x14ac:dyDescent="0.25">
      <c r="A42">
        <f>weight_E!A42</f>
        <v>40</v>
      </c>
      <c r="B42" t="str">
        <f>weight_E!B42</f>
        <v>2e2</v>
      </c>
    </row>
    <row r="43" spans="1:2" x14ac:dyDescent="0.25">
      <c r="A43">
        <f>weight_E!A43</f>
        <v>41</v>
      </c>
      <c r="B43" t="str">
        <f>weight_E!B43</f>
        <v>2f</v>
      </c>
    </row>
    <row r="44" spans="1:2" x14ac:dyDescent="0.25">
      <c r="A44">
        <f>weight_E!A44</f>
        <v>42</v>
      </c>
      <c r="B44" t="str">
        <f>weight_E!B44</f>
        <v>3</v>
      </c>
    </row>
    <row r="45" spans="1:2" x14ac:dyDescent="0.25">
      <c r="A45">
        <f>weight_E!A45</f>
        <v>43</v>
      </c>
      <c r="B45" t="str">
        <f>weight_E!B45</f>
        <v>3a</v>
      </c>
    </row>
    <row r="46" spans="1:2" x14ac:dyDescent="0.25">
      <c r="A46">
        <f>weight_E!A46</f>
        <v>44</v>
      </c>
      <c r="B46" t="str">
        <f>weight_E!B46</f>
        <v>3b</v>
      </c>
    </row>
    <row r="47" spans="1:2" x14ac:dyDescent="0.25">
      <c r="A47">
        <f>weight_E!A47</f>
        <v>45</v>
      </c>
      <c r="B47" t="str">
        <f>weight_E!B47</f>
        <v>3c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tabColor rgb="FF00B050"/>
  </sheetPr>
  <dimension ref="A1:G46"/>
  <sheetViews>
    <sheetView workbookViewId="0">
      <selection activeCell="A2" sqref="A2:G3"/>
    </sheetView>
  </sheetViews>
  <sheetFormatPr defaultRowHeight="15" x14ac:dyDescent="0.25"/>
  <sheetData>
    <row r="1" spans="1:7" x14ac:dyDescent="0.25">
      <c r="A1" t="s">
        <v>628</v>
      </c>
      <c r="B1" t="s">
        <v>3</v>
      </c>
      <c r="C1" t="s">
        <v>629</v>
      </c>
      <c r="D1" t="s">
        <v>0</v>
      </c>
      <c r="E1" t="s">
        <v>1</v>
      </c>
      <c r="F1" t="s">
        <v>2</v>
      </c>
      <c r="G1" t="s">
        <v>4</v>
      </c>
    </row>
    <row r="2" spans="1:7" x14ac:dyDescent="0.25">
      <c r="A2">
        <f>weight_E!A3</f>
        <v>1</v>
      </c>
      <c r="B2">
        <f>weight_E!E3</f>
        <v>0</v>
      </c>
      <c r="C2" t="s">
        <v>630</v>
      </c>
      <c r="D2">
        <v>1</v>
      </c>
      <c r="G2" t="str">
        <f>REPLACE(weight_E!P3,2,1,".")</f>
        <v>9.72727272727273</v>
      </c>
    </row>
    <row r="3" spans="1:7" x14ac:dyDescent="0.25">
      <c r="A3">
        <f>weight_E!A4</f>
        <v>2</v>
      </c>
      <c r="B3">
        <f>weight_E!E4</f>
        <v>1</v>
      </c>
      <c r="C3" t="str">
        <f>C2</f>
        <v>Directed</v>
      </c>
      <c r="D3">
        <f>D2+1</f>
        <v>2</v>
      </c>
      <c r="G3" t="str">
        <f>REPLACE(weight_E!P4,2,1,".")</f>
        <v>9.27272727272727</v>
      </c>
    </row>
    <row r="4" spans="1:7" x14ac:dyDescent="0.25">
      <c r="A4">
        <f>weight_E!A5</f>
        <v>3</v>
      </c>
      <c r="B4">
        <f>weight_E!E5</f>
        <v>2</v>
      </c>
      <c r="C4" t="str">
        <f t="shared" ref="C4:C46" si="0">C3</f>
        <v>Directed</v>
      </c>
      <c r="D4">
        <f t="shared" ref="D4:D46" si="1">D3+1</f>
        <v>3</v>
      </c>
      <c r="G4" t="str">
        <f>REPLACE(weight_E!P5,2,1,".")</f>
        <v>8.27272727272727</v>
      </c>
    </row>
    <row r="5" spans="1:7" x14ac:dyDescent="0.25">
      <c r="A5">
        <f>weight_E!A6</f>
        <v>4</v>
      </c>
      <c r="B5">
        <f>weight_E!E6</f>
        <v>2</v>
      </c>
      <c r="C5" t="str">
        <f t="shared" si="0"/>
        <v>Directed</v>
      </c>
      <c r="D5">
        <f t="shared" si="1"/>
        <v>4</v>
      </c>
      <c r="G5" t="str">
        <f>REPLACE(weight_E!P6,2,1,".")</f>
        <v>9.45454545454546</v>
      </c>
    </row>
    <row r="6" spans="1:7" x14ac:dyDescent="0.25">
      <c r="A6">
        <f>weight_E!A7</f>
        <v>5</v>
      </c>
      <c r="B6">
        <f>weight_E!E7</f>
        <v>2</v>
      </c>
      <c r="C6" t="str">
        <f t="shared" si="0"/>
        <v>Directed</v>
      </c>
      <c r="D6">
        <f t="shared" si="1"/>
        <v>5</v>
      </c>
      <c r="G6" t="str">
        <f>REPLACE(weight_E!P7,2,1,".")</f>
        <v>9.45454545454546</v>
      </c>
    </row>
    <row r="7" spans="1:7" x14ac:dyDescent="0.25">
      <c r="A7">
        <f>weight_E!A8</f>
        <v>6</v>
      </c>
      <c r="B7">
        <f>weight_E!E8</f>
        <v>1</v>
      </c>
      <c r="C7" t="str">
        <f t="shared" si="0"/>
        <v>Directed</v>
      </c>
      <c r="D7">
        <f t="shared" si="1"/>
        <v>6</v>
      </c>
      <c r="G7" t="str">
        <f>REPLACE(weight_E!P8,2,1,".")</f>
        <v>9.</v>
      </c>
    </row>
    <row r="8" spans="1:7" x14ac:dyDescent="0.25">
      <c r="A8">
        <f>weight_E!A9</f>
        <v>7</v>
      </c>
      <c r="B8">
        <f>weight_E!E9</f>
        <v>6</v>
      </c>
      <c r="C8" t="str">
        <f t="shared" si="0"/>
        <v>Directed</v>
      </c>
      <c r="D8">
        <f t="shared" si="1"/>
        <v>7</v>
      </c>
      <c r="G8" t="str">
        <f>REPLACE(weight_E!P9,2,1,".")</f>
        <v>7.09090909090909</v>
      </c>
    </row>
    <row r="9" spans="1:7" x14ac:dyDescent="0.25">
      <c r="A9">
        <f>weight_E!A10</f>
        <v>8</v>
      </c>
      <c r="B9">
        <f>weight_E!E10</f>
        <v>6</v>
      </c>
      <c r="C9" t="str">
        <f t="shared" si="0"/>
        <v>Directed</v>
      </c>
      <c r="D9">
        <f t="shared" si="1"/>
        <v>8</v>
      </c>
      <c r="G9" t="str">
        <f>REPLACE(weight_E!P10,2,1,".")</f>
        <v>3.36363636363636</v>
      </c>
    </row>
    <row r="10" spans="1:7" x14ac:dyDescent="0.25">
      <c r="A10">
        <f>weight_E!A11</f>
        <v>9</v>
      </c>
      <c r="B10">
        <f>weight_E!E11</f>
        <v>1</v>
      </c>
      <c r="C10" t="str">
        <f t="shared" si="0"/>
        <v>Directed</v>
      </c>
      <c r="D10">
        <f t="shared" si="1"/>
        <v>9</v>
      </c>
      <c r="G10" t="str">
        <f>REPLACE(weight_E!P11,2,1,".")</f>
        <v>7.</v>
      </c>
    </row>
    <row r="11" spans="1:7" x14ac:dyDescent="0.25">
      <c r="A11">
        <f>weight_E!A12</f>
        <v>10</v>
      </c>
      <c r="B11">
        <f>weight_E!E12</f>
        <v>9</v>
      </c>
      <c r="C11" t="str">
        <f t="shared" si="0"/>
        <v>Directed</v>
      </c>
      <c r="D11">
        <f t="shared" si="1"/>
        <v>10</v>
      </c>
      <c r="G11" t="str">
        <f>REPLACE(weight_E!P12,2,1,".")</f>
        <v>7.54545454545455</v>
      </c>
    </row>
    <row r="12" spans="1:7" x14ac:dyDescent="0.25">
      <c r="A12">
        <f>weight_E!A13</f>
        <v>11</v>
      </c>
      <c r="B12">
        <f>weight_E!E13</f>
        <v>9</v>
      </c>
      <c r="C12" t="str">
        <f t="shared" si="0"/>
        <v>Directed</v>
      </c>
      <c r="D12">
        <f t="shared" si="1"/>
        <v>11</v>
      </c>
      <c r="G12" t="str">
        <f>REPLACE(weight_E!P13,2,1,".")</f>
        <v>7.</v>
      </c>
    </row>
    <row r="13" spans="1:7" x14ac:dyDescent="0.25">
      <c r="A13">
        <f>weight_E!A14</f>
        <v>12</v>
      </c>
      <c r="B13">
        <f>weight_E!E14</f>
        <v>9</v>
      </c>
      <c r="C13" t="str">
        <f t="shared" si="0"/>
        <v>Directed</v>
      </c>
      <c r="D13">
        <f t="shared" si="1"/>
        <v>12</v>
      </c>
      <c r="G13" t="str">
        <f>REPLACE(weight_E!P14,2,1,".")</f>
        <v>9.</v>
      </c>
    </row>
    <row r="14" spans="1:7" x14ac:dyDescent="0.25">
      <c r="A14">
        <f>weight_E!A15</f>
        <v>13</v>
      </c>
      <c r="B14">
        <f>weight_E!E15</f>
        <v>9</v>
      </c>
      <c r="C14" t="str">
        <f t="shared" si="0"/>
        <v>Directed</v>
      </c>
      <c r="D14">
        <f t="shared" si="1"/>
        <v>13</v>
      </c>
      <c r="G14" t="str">
        <f>REPLACE(weight_E!P15,2,1,".")</f>
        <v>8.</v>
      </c>
    </row>
    <row r="15" spans="1:7" x14ac:dyDescent="0.25">
      <c r="A15">
        <f>weight_E!A16</f>
        <v>14</v>
      </c>
      <c r="B15">
        <f>weight_E!E16</f>
        <v>9</v>
      </c>
      <c r="C15" t="str">
        <f t="shared" si="0"/>
        <v>Directed</v>
      </c>
      <c r="D15">
        <f t="shared" si="1"/>
        <v>14</v>
      </c>
      <c r="G15" t="str">
        <f>REPLACE(weight_E!P16,2,1,".")</f>
        <v>7.</v>
      </c>
    </row>
    <row r="16" spans="1:7" x14ac:dyDescent="0.25">
      <c r="A16">
        <f>weight_E!A17</f>
        <v>15</v>
      </c>
      <c r="B16">
        <f>weight_E!E17</f>
        <v>9</v>
      </c>
      <c r="C16" t="str">
        <f t="shared" si="0"/>
        <v>Directed</v>
      </c>
      <c r="D16">
        <f t="shared" si="1"/>
        <v>15</v>
      </c>
      <c r="G16" t="str">
        <f>REPLACE(weight_E!P17,2,1,".")</f>
        <v>8.45454545454546</v>
      </c>
    </row>
    <row r="17" spans="1:7" x14ac:dyDescent="0.25">
      <c r="A17">
        <f>weight_E!A18</f>
        <v>16</v>
      </c>
      <c r="B17">
        <f>weight_E!E18</f>
        <v>9</v>
      </c>
      <c r="C17" t="str">
        <f t="shared" si="0"/>
        <v>Directed</v>
      </c>
      <c r="D17">
        <f t="shared" si="1"/>
        <v>16</v>
      </c>
      <c r="G17" t="str">
        <f>REPLACE(weight_E!P18,2,1,".")</f>
        <v>6.18181818181818</v>
      </c>
    </row>
    <row r="18" spans="1:7" x14ac:dyDescent="0.25">
      <c r="A18">
        <f>weight_E!A19</f>
        <v>17</v>
      </c>
      <c r="B18">
        <f>weight_E!E19</f>
        <v>0</v>
      </c>
      <c r="C18" t="str">
        <f t="shared" si="0"/>
        <v>Directed</v>
      </c>
      <c r="D18">
        <f t="shared" si="1"/>
        <v>17</v>
      </c>
      <c r="G18" t="str">
        <f>REPLACE(weight_E!P19,2,1,".")</f>
        <v>7.09090909090909</v>
      </c>
    </row>
    <row r="19" spans="1:7" x14ac:dyDescent="0.25">
      <c r="A19">
        <f>weight_E!A20</f>
        <v>18</v>
      </c>
      <c r="B19">
        <f>weight_E!E20</f>
        <v>17</v>
      </c>
      <c r="C19" t="str">
        <f t="shared" si="0"/>
        <v>Directed</v>
      </c>
      <c r="D19">
        <f t="shared" si="1"/>
        <v>18</v>
      </c>
      <c r="G19" t="str">
        <f>REPLACE(weight_E!P20,2,1,".")</f>
        <v>7.54545454545455</v>
      </c>
    </row>
    <row r="20" spans="1:7" x14ac:dyDescent="0.25">
      <c r="A20">
        <f>weight_E!A21</f>
        <v>19</v>
      </c>
      <c r="B20">
        <f>weight_E!E21</f>
        <v>18</v>
      </c>
      <c r="C20" t="str">
        <f t="shared" si="0"/>
        <v>Directed</v>
      </c>
      <c r="D20">
        <f t="shared" si="1"/>
        <v>19</v>
      </c>
      <c r="G20" t="str">
        <f>REPLACE(weight_E!P21,2,1,".")</f>
        <v>9.36363636363636</v>
      </c>
    </row>
    <row r="21" spans="1:7" x14ac:dyDescent="0.25">
      <c r="A21">
        <f>weight_E!A22</f>
        <v>20</v>
      </c>
      <c r="B21">
        <f>weight_E!E22</f>
        <v>18</v>
      </c>
      <c r="C21" t="str">
        <f t="shared" si="0"/>
        <v>Directed</v>
      </c>
      <c r="D21">
        <f t="shared" si="1"/>
        <v>20</v>
      </c>
      <c r="G21" t="str">
        <f>REPLACE(weight_E!P22,2,1,".")</f>
        <v>8.36363636363636</v>
      </c>
    </row>
    <row r="22" spans="1:7" x14ac:dyDescent="0.25">
      <c r="A22">
        <f>weight_E!A23</f>
        <v>21</v>
      </c>
      <c r="B22">
        <f>weight_E!E23</f>
        <v>18</v>
      </c>
      <c r="C22" t="str">
        <f t="shared" si="0"/>
        <v>Directed</v>
      </c>
      <c r="D22">
        <f t="shared" si="1"/>
        <v>21</v>
      </c>
      <c r="G22" t="str">
        <f>REPLACE(weight_E!P23,2,1,".")</f>
        <v>8.54545454545454</v>
      </c>
    </row>
    <row r="23" spans="1:7" x14ac:dyDescent="0.25">
      <c r="A23">
        <f>weight_E!A24</f>
        <v>22</v>
      </c>
      <c r="B23">
        <f>weight_E!E24</f>
        <v>17</v>
      </c>
      <c r="C23" t="str">
        <f t="shared" si="0"/>
        <v>Directed</v>
      </c>
      <c r="D23">
        <f t="shared" si="1"/>
        <v>22</v>
      </c>
      <c r="G23" t="str">
        <f>REPLACE(weight_E!P24,2,1,".")</f>
        <v>5.45454545454545</v>
      </c>
    </row>
    <row r="24" spans="1:7" x14ac:dyDescent="0.25">
      <c r="A24">
        <f>weight_E!A25</f>
        <v>23</v>
      </c>
      <c r="B24">
        <f>weight_E!E25</f>
        <v>22</v>
      </c>
      <c r="C24" t="str">
        <f t="shared" si="0"/>
        <v>Directed</v>
      </c>
      <c r="D24">
        <f t="shared" si="1"/>
        <v>23</v>
      </c>
      <c r="G24" t="str">
        <f>REPLACE(weight_E!P25,2,1,".")</f>
        <v>6.81818181818182</v>
      </c>
    </row>
    <row r="25" spans="1:7" x14ac:dyDescent="0.25">
      <c r="A25">
        <f>weight_E!A26</f>
        <v>24</v>
      </c>
      <c r="B25">
        <f>weight_E!E26</f>
        <v>22</v>
      </c>
      <c r="C25" t="str">
        <f t="shared" si="0"/>
        <v>Directed</v>
      </c>
      <c r="D25">
        <f t="shared" si="1"/>
        <v>24</v>
      </c>
      <c r="G25" t="str">
        <f>REPLACE(weight_E!P26,2,1,".")</f>
        <v>4.54545454545455</v>
      </c>
    </row>
    <row r="26" spans="1:7" x14ac:dyDescent="0.25">
      <c r="A26">
        <f>weight_E!A27</f>
        <v>25</v>
      </c>
      <c r="B26">
        <f>weight_E!E27</f>
        <v>22</v>
      </c>
      <c r="C26" t="str">
        <f t="shared" si="0"/>
        <v>Directed</v>
      </c>
      <c r="D26">
        <f t="shared" si="1"/>
        <v>25</v>
      </c>
      <c r="G26" t="str">
        <f>REPLACE(weight_E!P27,2,1,".")</f>
        <v>2.45454545454545</v>
      </c>
    </row>
    <row r="27" spans="1:7" x14ac:dyDescent="0.25">
      <c r="A27">
        <f>weight_E!A28</f>
        <v>26</v>
      </c>
      <c r="B27">
        <f>weight_E!E28</f>
        <v>17</v>
      </c>
      <c r="C27" t="str">
        <f t="shared" si="0"/>
        <v>Directed</v>
      </c>
      <c r="D27">
        <f t="shared" si="1"/>
        <v>26</v>
      </c>
      <c r="G27" t="str">
        <f>REPLACE(weight_E!P28,2,1,".")</f>
        <v>9.36363636363636</v>
      </c>
    </row>
    <row r="28" spans="1:7" x14ac:dyDescent="0.25">
      <c r="A28">
        <f>weight_E!A29</f>
        <v>27</v>
      </c>
      <c r="B28">
        <f>weight_E!E29</f>
        <v>26</v>
      </c>
      <c r="C28" t="str">
        <f t="shared" si="0"/>
        <v>Directed</v>
      </c>
      <c r="D28">
        <f t="shared" si="1"/>
        <v>27</v>
      </c>
      <c r="G28" t="str">
        <f>REPLACE(weight_E!P29,2,1,".")</f>
        <v>4.81818181818182</v>
      </c>
    </row>
    <row r="29" spans="1:7" x14ac:dyDescent="0.25">
      <c r="A29">
        <f>weight_E!A30</f>
        <v>28</v>
      </c>
      <c r="B29">
        <f>weight_E!E30</f>
        <v>26</v>
      </c>
      <c r="C29" t="str">
        <f t="shared" si="0"/>
        <v>Directed</v>
      </c>
      <c r="D29">
        <f t="shared" si="1"/>
        <v>28</v>
      </c>
      <c r="G29" t="str">
        <f>REPLACE(weight_E!P30,2,1,".")</f>
        <v>7.54545454545455</v>
      </c>
    </row>
    <row r="30" spans="1:7" x14ac:dyDescent="0.25">
      <c r="A30">
        <f>weight_E!A31</f>
        <v>29</v>
      </c>
      <c r="B30">
        <f>weight_E!E31</f>
        <v>26</v>
      </c>
      <c r="C30" t="str">
        <f t="shared" si="0"/>
        <v>Directed</v>
      </c>
      <c r="D30">
        <f t="shared" si="1"/>
        <v>29</v>
      </c>
      <c r="G30" t="str">
        <f>REPLACE(weight_E!P31,2,1,".")</f>
        <v>8.45454545454546</v>
      </c>
    </row>
    <row r="31" spans="1:7" x14ac:dyDescent="0.25">
      <c r="A31">
        <f>weight_E!A32</f>
        <v>30</v>
      </c>
      <c r="B31">
        <f>weight_E!E32</f>
        <v>26</v>
      </c>
      <c r="C31" t="str">
        <f t="shared" si="0"/>
        <v>Directed</v>
      </c>
      <c r="D31">
        <f t="shared" si="1"/>
        <v>30</v>
      </c>
      <c r="G31" t="str">
        <f>REPLACE(weight_E!P32,2,1,".")</f>
        <v>9.81818181818182</v>
      </c>
    </row>
    <row r="32" spans="1:7" x14ac:dyDescent="0.25">
      <c r="A32">
        <f>weight_E!A33</f>
        <v>31</v>
      </c>
      <c r="B32">
        <f>weight_E!E33</f>
        <v>17</v>
      </c>
      <c r="C32" t="str">
        <f t="shared" si="0"/>
        <v>Directed</v>
      </c>
      <c r="D32">
        <f t="shared" si="1"/>
        <v>31</v>
      </c>
      <c r="G32" t="str">
        <f>REPLACE(weight_E!P33,2,1,".")</f>
        <v>8.90909090909091</v>
      </c>
    </row>
    <row r="33" spans="1:7" x14ac:dyDescent="0.25">
      <c r="A33">
        <f>weight_E!A34</f>
        <v>32</v>
      </c>
      <c r="B33">
        <f>weight_E!E34</f>
        <v>31</v>
      </c>
      <c r="C33" t="str">
        <f t="shared" si="0"/>
        <v>Directed</v>
      </c>
      <c r="D33">
        <f t="shared" si="1"/>
        <v>32</v>
      </c>
      <c r="G33" t="str">
        <f>REPLACE(weight_E!P34,2,1,".")</f>
        <v>9.72727272727273</v>
      </c>
    </row>
    <row r="34" spans="1:7" x14ac:dyDescent="0.25">
      <c r="A34">
        <f>weight_E!A35</f>
        <v>33</v>
      </c>
      <c r="B34">
        <f>weight_E!E35</f>
        <v>32</v>
      </c>
      <c r="C34" t="str">
        <f t="shared" si="0"/>
        <v>Directed</v>
      </c>
      <c r="D34">
        <f t="shared" si="1"/>
        <v>33</v>
      </c>
      <c r="G34" t="str">
        <f>REPLACE(weight_E!P35,2,1,".")</f>
        <v>5.54545454545455</v>
      </c>
    </row>
    <row r="35" spans="1:7" x14ac:dyDescent="0.25">
      <c r="A35">
        <f>weight_E!A36</f>
        <v>34</v>
      </c>
      <c r="B35">
        <f>weight_E!E36</f>
        <v>32</v>
      </c>
      <c r="C35" t="str">
        <f t="shared" si="0"/>
        <v>Directed</v>
      </c>
      <c r="D35">
        <f t="shared" si="1"/>
        <v>34</v>
      </c>
      <c r="G35" t="str">
        <f>REPLACE(weight_E!P36,2,1,".")</f>
        <v>7.54545454545455</v>
      </c>
    </row>
    <row r="36" spans="1:7" x14ac:dyDescent="0.25">
      <c r="A36">
        <f>weight_E!A37</f>
        <v>35</v>
      </c>
      <c r="B36">
        <f>weight_E!E37</f>
        <v>32</v>
      </c>
      <c r="C36" t="str">
        <f t="shared" si="0"/>
        <v>Directed</v>
      </c>
      <c r="D36">
        <f t="shared" si="1"/>
        <v>35</v>
      </c>
      <c r="G36" t="str">
        <f>REPLACE(weight_E!P37,2,1,".")</f>
        <v>6.27272727272727</v>
      </c>
    </row>
    <row r="37" spans="1:7" x14ac:dyDescent="0.25">
      <c r="A37">
        <f>weight_E!A38</f>
        <v>36</v>
      </c>
      <c r="B37">
        <f>weight_E!E38</f>
        <v>32</v>
      </c>
      <c r="C37" t="str">
        <f t="shared" si="0"/>
        <v>Directed</v>
      </c>
      <c r="D37">
        <f t="shared" si="1"/>
        <v>36</v>
      </c>
      <c r="G37" t="str">
        <f>REPLACE(weight_E!P38,2,1,".")</f>
        <v>8.72727272727273</v>
      </c>
    </row>
    <row r="38" spans="1:7" x14ac:dyDescent="0.25">
      <c r="A38">
        <f>weight_E!A39</f>
        <v>37</v>
      </c>
      <c r="B38">
        <f>weight_E!E39</f>
        <v>31</v>
      </c>
      <c r="C38" t="str">
        <f t="shared" si="0"/>
        <v>Directed</v>
      </c>
      <c r="D38">
        <f t="shared" si="1"/>
        <v>37</v>
      </c>
      <c r="G38" t="str">
        <f>REPLACE(weight_E!P39,2,1,".")</f>
        <v>5.36363636363636</v>
      </c>
    </row>
    <row r="39" spans="1:7" x14ac:dyDescent="0.25">
      <c r="A39">
        <f>weight_E!A40</f>
        <v>38</v>
      </c>
      <c r="B39">
        <f>weight_E!E40</f>
        <v>17</v>
      </c>
      <c r="C39" t="str">
        <f t="shared" si="0"/>
        <v>Directed</v>
      </c>
      <c r="D39">
        <f t="shared" si="1"/>
        <v>38</v>
      </c>
      <c r="G39" t="str">
        <f>REPLACE(weight_E!P40,2,1,".")</f>
        <v>4.81818181818182</v>
      </c>
    </row>
    <row r="40" spans="1:7" x14ac:dyDescent="0.25">
      <c r="A40">
        <f>weight_E!A41</f>
        <v>39</v>
      </c>
      <c r="B40">
        <f>weight_E!E41</f>
        <v>38</v>
      </c>
      <c r="C40" t="str">
        <f t="shared" si="0"/>
        <v>Directed</v>
      </c>
      <c r="D40">
        <f t="shared" si="1"/>
        <v>39</v>
      </c>
      <c r="G40" t="str">
        <f>REPLACE(weight_E!P41,2,1,".")</f>
        <v>8.27272727272727</v>
      </c>
    </row>
    <row r="41" spans="1:7" x14ac:dyDescent="0.25">
      <c r="A41">
        <f>weight_E!A42</f>
        <v>40</v>
      </c>
      <c r="B41">
        <f>weight_E!E42</f>
        <v>38</v>
      </c>
      <c r="C41" t="str">
        <f t="shared" si="0"/>
        <v>Directed</v>
      </c>
      <c r="D41">
        <f t="shared" si="1"/>
        <v>40</v>
      </c>
      <c r="G41" t="str">
        <f>REPLACE(weight_E!P42,2,1,".")</f>
        <v>4.18181818181818</v>
      </c>
    </row>
    <row r="42" spans="1:7" x14ac:dyDescent="0.25">
      <c r="A42">
        <f>weight_E!A43</f>
        <v>41</v>
      </c>
      <c r="B42">
        <f>weight_E!E43</f>
        <v>17</v>
      </c>
      <c r="C42" t="str">
        <f t="shared" si="0"/>
        <v>Directed</v>
      </c>
      <c r="D42">
        <f t="shared" si="1"/>
        <v>41</v>
      </c>
      <c r="G42" t="str">
        <f>REPLACE(weight_E!P43,2,1,".")</f>
        <v>9.72727272727273</v>
      </c>
    </row>
    <row r="43" spans="1:7" x14ac:dyDescent="0.25">
      <c r="A43">
        <f>weight_E!A44</f>
        <v>42</v>
      </c>
      <c r="B43">
        <f>weight_E!E44</f>
        <v>0</v>
      </c>
      <c r="C43" t="str">
        <f t="shared" si="0"/>
        <v>Directed</v>
      </c>
      <c r="D43">
        <f t="shared" si="1"/>
        <v>42</v>
      </c>
      <c r="G43" t="str">
        <f>REPLACE(weight_E!P44,2,1,".")</f>
        <v>7.18181818181818</v>
      </c>
    </row>
    <row r="44" spans="1:7" x14ac:dyDescent="0.25">
      <c r="A44">
        <f>weight_E!A45</f>
        <v>43</v>
      </c>
      <c r="B44">
        <f>weight_E!E45</f>
        <v>42</v>
      </c>
      <c r="C44" t="str">
        <f t="shared" si="0"/>
        <v>Directed</v>
      </c>
      <c r="D44">
        <f t="shared" si="1"/>
        <v>43</v>
      </c>
      <c r="G44" t="str">
        <f>REPLACE(weight_E!P45,2,1,".")</f>
        <v>8.54545454545454</v>
      </c>
    </row>
    <row r="45" spans="1:7" x14ac:dyDescent="0.25">
      <c r="A45">
        <f>weight_E!A46</f>
        <v>44</v>
      </c>
      <c r="B45">
        <f>weight_E!E46</f>
        <v>42</v>
      </c>
      <c r="C45" t="str">
        <f t="shared" si="0"/>
        <v>Directed</v>
      </c>
      <c r="D45">
        <f t="shared" si="1"/>
        <v>44</v>
      </c>
      <c r="G45" t="str">
        <f>REPLACE(weight_E!P46,2,1,".")</f>
        <v>5.45454545454545</v>
      </c>
    </row>
    <row r="46" spans="1:7" x14ac:dyDescent="0.25">
      <c r="A46">
        <f>weight_E!A47</f>
        <v>45</v>
      </c>
      <c r="B46">
        <f>weight_E!E47</f>
        <v>42</v>
      </c>
      <c r="C46" t="str">
        <f t="shared" si="0"/>
        <v>Directed</v>
      </c>
      <c r="D46">
        <f t="shared" si="1"/>
        <v>45</v>
      </c>
      <c r="G46" t="str">
        <f>REPLACE(weight_E!P47,2,1,".")</f>
        <v>5.18181818181818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">
    <tabColor rgb="FF00B050"/>
  </sheetPr>
  <dimension ref="A1:AA47"/>
  <sheetViews>
    <sheetView workbookViewId="0">
      <pane xSplit="4" ySplit="1" topLeftCell="E2" activePane="bottomRight" state="frozen"/>
      <selection activeCell="C32" sqref="C32"/>
      <selection pane="topRight" activeCell="C32" sqref="C32"/>
      <selection pane="bottomLeft" activeCell="C32" sqref="C32"/>
      <selection pane="bottomRight" activeCell="AB3" sqref="AB3"/>
    </sheetView>
  </sheetViews>
  <sheetFormatPr defaultRowHeight="15" x14ac:dyDescent="0.25"/>
  <cols>
    <col min="1" max="1" width="5" customWidth="1"/>
    <col min="3" max="3" width="7.85546875" bestFit="1" customWidth="1"/>
    <col min="4" max="4" width="7.42578125" style="3" bestFit="1" customWidth="1"/>
    <col min="5" max="5" width="5.85546875" customWidth="1"/>
    <col min="6" max="6" width="4" customWidth="1"/>
    <col min="7" max="7" width="9" style="1" customWidth="1"/>
    <col min="8" max="8" width="8.85546875" style="1" customWidth="1"/>
    <col min="9" max="9" width="9.42578125" customWidth="1"/>
    <col min="10" max="10" width="98.7109375" customWidth="1"/>
    <col min="13" max="13" width="6" customWidth="1"/>
    <col min="14" max="14" width="7.5703125" customWidth="1"/>
    <col min="18" max="20" width="6.5703125" customWidth="1"/>
    <col min="21" max="27" width="6.140625" customWidth="1"/>
  </cols>
  <sheetData>
    <row r="1" spans="1:27" x14ac:dyDescent="0.25">
      <c r="A1" t="s">
        <v>0</v>
      </c>
      <c r="B1" t="s">
        <v>1</v>
      </c>
      <c r="C1" t="s">
        <v>2</v>
      </c>
      <c r="D1" s="3" t="s">
        <v>4</v>
      </c>
      <c r="E1" t="s">
        <v>3</v>
      </c>
      <c r="F1" t="s">
        <v>5</v>
      </c>
      <c r="G1" s="2" t="s">
        <v>85</v>
      </c>
      <c r="H1" s="2" t="s">
        <v>84</v>
      </c>
      <c r="L1" t="s">
        <v>311</v>
      </c>
      <c r="P1" s="15" t="s">
        <v>315</v>
      </c>
      <c r="Q1" s="12" t="s">
        <v>314</v>
      </c>
      <c r="R1" s="12">
        <v>1</v>
      </c>
      <c r="S1" s="12">
        <v>2</v>
      </c>
      <c r="T1" s="12">
        <v>3</v>
      </c>
      <c r="U1" s="12">
        <v>4</v>
      </c>
      <c r="V1" s="12">
        <v>5</v>
      </c>
      <c r="W1" s="12">
        <v>6</v>
      </c>
      <c r="X1" s="12">
        <v>7</v>
      </c>
      <c r="Y1" s="12">
        <v>8</v>
      </c>
      <c r="Z1" s="12">
        <v>9</v>
      </c>
      <c r="AA1" s="12">
        <v>10</v>
      </c>
    </row>
    <row r="2" spans="1:27" x14ac:dyDescent="0.25">
      <c r="A2">
        <v>0</v>
      </c>
      <c r="B2" t="str">
        <f t="shared" ref="B2:B4" si="0">Метка(I2)</f>
        <v>0</v>
      </c>
      <c r="F2">
        <f t="shared" ref="F2:F47" si="1">LEN(I2)</f>
        <v>1</v>
      </c>
      <c r="H2" s="1">
        <v>0</v>
      </c>
      <c r="I2">
        <v>0</v>
      </c>
      <c r="L2" s="1" t="s">
        <v>312</v>
      </c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</row>
    <row r="3" spans="1:27" x14ac:dyDescent="0.25">
      <c r="A3">
        <v>1</v>
      </c>
      <c r="B3" t="str">
        <f t="shared" si="0"/>
        <v>1</v>
      </c>
      <c r="D3" s="8">
        <v>10</v>
      </c>
      <c r="E3">
        <f>MATCH(G3,I$2:I$47,0)-1</f>
        <v>0</v>
      </c>
      <c r="F3">
        <f t="shared" si="1"/>
        <v>1</v>
      </c>
      <c r="G3" s="1">
        <f t="shared" ref="G3:G47" si="2">IFERROR(LEFT(I3,LEN(I3)-2-N3),0)</f>
        <v>0</v>
      </c>
      <c r="H3" s="1">
        <f>ROUNDUP(F3/2,0)</f>
        <v>1</v>
      </c>
      <c r="I3" t="str">
        <f t="shared" ref="I3:I47" si="3">LEFT(J3,L3-1)</f>
        <v>1</v>
      </c>
      <c r="J3" t="s">
        <v>633</v>
      </c>
      <c r="L3" s="1">
        <f t="shared" ref="L3:L47" si="4">IFERROR(SEARCH(L$2,J3),SEARCH(". ",J3))</f>
        <v>2</v>
      </c>
      <c r="M3" s="1">
        <f t="shared" ref="M3:M47" si="5">IFERROR(LEFT(I3,LEN(I3)-2),0)</f>
        <v>0</v>
      </c>
      <c r="N3">
        <f t="shared" ref="N3:N47" si="6">IF(RIGHT(M3)=".",1,0)</f>
        <v>0</v>
      </c>
      <c r="P3" s="13">
        <f>AVERAGE(D3,R3:AA3)</f>
        <v>9.7272727272727266</v>
      </c>
      <c r="R3">
        <v>10</v>
      </c>
      <c r="S3">
        <v>10</v>
      </c>
      <c r="T3">
        <v>10</v>
      </c>
      <c r="U3">
        <v>10</v>
      </c>
      <c r="V3">
        <v>10</v>
      </c>
      <c r="W3">
        <v>10</v>
      </c>
      <c r="X3">
        <v>8</v>
      </c>
      <c r="Y3">
        <v>10</v>
      </c>
      <c r="Z3">
        <v>10</v>
      </c>
      <c r="AA3">
        <v>9</v>
      </c>
    </row>
    <row r="4" spans="1:27" x14ac:dyDescent="0.25">
      <c r="A4">
        <v>2</v>
      </c>
      <c r="B4" t="str">
        <f t="shared" si="0"/>
        <v>1a</v>
      </c>
      <c r="D4" s="9">
        <v>10</v>
      </c>
      <c r="E4">
        <f>MATCH(G4,I$2:I$47,0)-1</f>
        <v>1</v>
      </c>
      <c r="F4">
        <f t="shared" si="1"/>
        <v>3</v>
      </c>
      <c r="G4" s="1" t="str">
        <f t="shared" si="2"/>
        <v>1</v>
      </c>
      <c r="H4" s="1">
        <f t="shared" ref="H4:H47" si="7">ROUNDUP(F4/2,0)</f>
        <v>2</v>
      </c>
      <c r="I4" t="str">
        <f t="shared" si="3"/>
        <v>1.1</v>
      </c>
      <c r="J4" t="s">
        <v>634</v>
      </c>
      <c r="L4" s="1">
        <f t="shared" si="4"/>
        <v>4</v>
      </c>
      <c r="M4" s="1" t="str">
        <f t="shared" si="5"/>
        <v>1</v>
      </c>
      <c r="N4">
        <f t="shared" si="6"/>
        <v>0</v>
      </c>
      <c r="P4" s="13">
        <f t="shared" ref="P4:P47" si="8">AVERAGE(D4,R4:AA4)</f>
        <v>9.2727272727272734</v>
      </c>
      <c r="R4">
        <v>10</v>
      </c>
      <c r="S4">
        <v>10</v>
      </c>
      <c r="T4">
        <v>7</v>
      </c>
      <c r="U4">
        <v>9</v>
      </c>
      <c r="V4">
        <v>10</v>
      </c>
      <c r="W4">
        <v>10</v>
      </c>
      <c r="X4">
        <v>10</v>
      </c>
      <c r="Y4">
        <v>8</v>
      </c>
      <c r="Z4">
        <v>9</v>
      </c>
      <c r="AA4">
        <v>9</v>
      </c>
    </row>
    <row r="5" spans="1:27" x14ac:dyDescent="0.25">
      <c r="A5">
        <v>3</v>
      </c>
      <c r="B5" t="str">
        <f>Метка(I5)</f>
        <v>1a1</v>
      </c>
      <c r="D5" s="10">
        <v>9</v>
      </c>
      <c r="E5">
        <f>MATCH(G5,I$2:I$47,0)-1</f>
        <v>2</v>
      </c>
      <c r="F5">
        <f t="shared" si="1"/>
        <v>5</v>
      </c>
      <c r="G5" s="1" t="str">
        <f t="shared" si="2"/>
        <v>1.1</v>
      </c>
      <c r="H5" s="1">
        <f t="shared" si="7"/>
        <v>3</v>
      </c>
      <c r="I5" t="str">
        <f t="shared" si="3"/>
        <v>1.1.1</v>
      </c>
      <c r="J5" t="s">
        <v>635</v>
      </c>
      <c r="L5" s="1">
        <f t="shared" si="4"/>
        <v>6</v>
      </c>
      <c r="M5" s="1" t="str">
        <f t="shared" si="5"/>
        <v>1.1</v>
      </c>
      <c r="N5">
        <f t="shared" si="6"/>
        <v>0</v>
      </c>
      <c r="P5" s="13">
        <f t="shared" si="8"/>
        <v>8.2727272727272734</v>
      </c>
      <c r="R5">
        <v>8</v>
      </c>
      <c r="S5">
        <v>8</v>
      </c>
      <c r="T5">
        <v>8</v>
      </c>
      <c r="U5">
        <v>9</v>
      </c>
      <c r="V5">
        <v>7</v>
      </c>
      <c r="W5">
        <v>10</v>
      </c>
      <c r="X5">
        <v>9</v>
      </c>
      <c r="Y5">
        <v>9</v>
      </c>
      <c r="Z5">
        <v>5</v>
      </c>
      <c r="AA5">
        <v>9</v>
      </c>
    </row>
    <row r="6" spans="1:27" x14ac:dyDescent="0.25">
      <c r="A6">
        <v>4</v>
      </c>
      <c r="B6" t="str">
        <f t="shared" ref="B6:B47" si="9">Метка(I6)</f>
        <v>1a2</v>
      </c>
      <c r="D6" s="10">
        <v>10</v>
      </c>
      <c r="E6">
        <f>MATCH(G6,I$2:I$47,0)-1</f>
        <v>2</v>
      </c>
      <c r="F6">
        <f t="shared" si="1"/>
        <v>5</v>
      </c>
      <c r="G6" s="1" t="str">
        <f t="shared" si="2"/>
        <v>1.1</v>
      </c>
      <c r="H6" s="1">
        <f t="shared" si="7"/>
        <v>3</v>
      </c>
      <c r="I6" t="str">
        <f t="shared" si="3"/>
        <v>1.1.2</v>
      </c>
      <c r="J6" t="s">
        <v>636</v>
      </c>
      <c r="L6" s="1">
        <f t="shared" si="4"/>
        <v>6</v>
      </c>
      <c r="M6" s="1" t="str">
        <f t="shared" si="5"/>
        <v>1.1</v>
      </c>
      <c r="N6">
        <f t="shared" si="6"/>
        <v>0</v>
      </c>
      <c r="P6" s="13">
        <f t="shared" si="8"/>
        <v>9.454545454545455</v>
      </c>
      <c r="R6">
        <v>9</v>
      </c>
      <c r="S6">
        <v>9</v>
      </c>
      <c r="T6">
        <v>10</v>
      </c>
      <c r="U6">
        <v>10</v>
      </c>
      <c r="V6">
        <v>9</v>
      </c>
      <c r="W6">
        <v>10</v>
      </c>
      <c r="X6">
        <v>10</v>
      </c>
      <c r="Y6">
        <v>10</v>
      </c>
      <c r="Z6">
        <v>8</v>
      </c>
      <c r="AA6">
        <v>9</v>
      </c>
    </row>
    <row r="7" spans="1:27" x14ac:dyDescent="0.25">
      <c r="A7">
        <v>5</v>
      </c>
      <c r="B7" t="str">
        <f t="shared" si="9"/>
        <v>1a3</v>
      </c>
      <c r="D7" s="10">
        <v>10</v>
      </c>
      <c r="E7">
        <f>MATCH(G7,I$2:I$47,0)-1</f>
        <v>2</v>
      </c>
      <c r="F7">
        <f t="shared" si="1"/>
        <v>5</v>
      </c>
      <c r="G7" s="1" t="str">
        <f t="shared" si="2"/>
        <v>1.1</v>
      </c>
      <c r="H7" s="1">
        <f t="shared" si="7"/>
        <v>3</v>
      </c>
      <c r="I7" t="str">
        <f t="shared" si="3"/>
        <v>1.1.3</v>
      </c>
      <c r="J7" t="s">
        <v>637</v>
      </c>
      <c r="L7" s="1">
        <f t="shared" si="4"/>
        <v>6</v>
      </c>
      <c r="M7" s="1" t="str">
        <f t="shared" si="5"/>
        <v>1.1</v>
      </c>
      <c r="N7">
        <f t="shared" si="6"/>
        <v>0</v>
      </c>
      <c r="P7" s="13">
        <f t="shared" si="8"/>
        <v>9.454545454545455</v>
      </c>
      <c r="R7">
        <v>9</v>
      </c>
      <c r="S7">
        <v>10</v>
      </c>
      <c r="T7">
        <v>10</v>
      </c>
      <c r="U7">
        <v>10</v>
      </c>
      <c r="V7">
        <v>10</v>
      </c>
      <c r="W7">
        <v>10</v>
      </c>
      <c r="X7">
        <v>10</v>
      </c>
      <c r="Y7">
        <v>8</v>
      </c>
      <c r="Z7">
        <v>7</v>
      </c>
      <c r="AA7">
        <v>10</v>
      </c>
    </row>
    <row r="8" spans="1:27" x14ac:dyDescent="0.25">
      <c r="A8">
        <v>6</v>
      </c>
      <c r="B8" t="str">
        <f t="shared" si="9"/>
        <v>1b</v>
      </c>
      <c r="D8" s="9">
        <v>9</v>
      </c>
      <c r="E8">
        <f>MATCH(G8,I$2:I$47,0)-1</f>
        <v>1</v>
      </c>
      <c r="F8">
        <f t="shared" si="1"/>
        <v>3</v>
      </c>
      <c r="G8" s="1" t="str">
        <f t="shared" si="2"/>
        <v>1</v>
      </c>
      <c r="H8" s="1">
        <f t="shared" si="7"/>
        <v>2</v>
      </c>
      <c r="I8" t="str">
        <f t="shared" si="3"/>
        <v>1.2</v>
      </c>
      <c r="J8" t="s">
        <v>638</v>
      </c>
      <c r="L8" s="1">
        <f t="shared" si="4"/>
        <v>4</v>
      </c>
      <c r="M8" s="1" t="str">
        <f t="shared" si="5"/>
        <v>1</v>
      </c>
      <c r="N8">
        <f t="shared" si="6"/>
        <v>0</v>
      </c>
      <c r="P8" s="13">
        <f t="shared" si="8"/>
        <v>9</v>
      </c>
      <c r="R8">
        <v>8</v>
      </c>
      <c r="S8">
        <v>10</v>
      </c>
      <c r="T8">
        <v>10</v>
      </c>
      <c r="U8">
        <v>9</v>
      </c>
      <c r="V8">
        <v>6</v>
      </c>
      <c r="W8">
        <v>8</v>
      </c>
      <c r="X8">
        <v>10</v>
      </c>
      <c r="Y8">
        <v>9</v>
      </c>
      <c r="Z8">
        <v>10</v>
      </c>
      <c r="AA8">
        <v>10</v>
      </c>
    </row>
    <row r="9" spans="1:27" x14ac:dyDescent="0.25">
      <c r="A9">
        <v>7</v>
      </c>
      <c r="B9" t="str">
        <f t="shared" si="9"/>
        <v>1b1</v>
      </c>
      <c r="D9" s="10">
        <v>8</v>
      </c>
      <c r="E9">
        <f>MATCH(G9,I$2:I$47,0)-1</f>
        <v>6</v>
      </c>
      <c r="F9">
        <f t="shared" si="1"/>
        <v>5</v>
      </c>
      <c r="G9" s="1" t="str">
        <f t="shared" si="2"/>
        <v>1.2</v>
      </c>
      <c r="H9" s="1">
        <f t="shared" si="7"/>
        <v>3</v>
      </c>
      <c r="I9" t="str">
        <f t="shared" si="3"/>
        <v>1.2.1</v>
      </c>
      <c r="J9" t="s">
        <v>639</v>
      </c>
      <c r="L9" s="1">
        <f t="shared" si="4"/>
        <v>6</v>
      </c>
      <c r="M9" s="1" t="str">
        <f t="shared" si="5"/>
        <v>1.2</v>
      </c>
      <c r="N9">
        <f t="shared" si="6"/>
        <v>0</v>
      </c>
      <c r="P9" s="13">
        <f t="shared" si="8"/>
        <v>7.0909090909090908</v>
      </c>
      <c r="R9">
        <v>6</v>
      </c>
      <c r="S9">
        <v>7</v>
      </c>
      <c r="T9">
        <v>4</v>
      </c>
      <c r="U9">
        <v>7</v>
      </c>
      <c r="V9">
        <v>9</v>
      </c>
      <c r="W9">
        <v>7</v>
      </c>
      <c r="X9">
        <v>7</v>
      </c>
      <c r="Y9">
        <v>8</v>
      </c>
      <c r="Z9">
        <v>8</v>
      </c>
      <c r="AA9">
        <v>7</v>
      </c>
    </row>
    <row r="10" spans="1:27" x14ac:dyDescent="0.25">
      <c r="A10">
        <v>8</v>
      </c>
      <c r="B10" t="str">
        <f t="shared" si="9"/>
        <v>1b2</v>
      </c>
      <c r="D10" s="10">
        <v>4</v>
      </c>
      <c r="E10">
        <f>MATCH(G10,I$2:I$47,0)-1</f>
        <v>6</v>
      </c>
      <c r="F10">
        <f t="shared" si="1"/>
        <v>5</v>
      </c>
      <c r="G10" s="1" t="str">
        <f t="shared" si="2"/>
        <v>1.2</v>
      </c>
      <c r="H10" s="1">
        <f t="shared" si="7"/>
        <v>3</v>
      </c>
      <c r="I10" t="str">
        <f t="shared" si="3"/>
        <v>1.2.2</v>
      </c>
      <c r="J10" t="s">
        <v>640</v>
      </c>
      <c r="L10" s="1">
        <f t="shared" si="4"/>
        <v>6</v>
      </c>
      <c r="M10" s="1" t="str">
        <f t="shared" si="5"/>
        <v>1.2</v>
      </c>
      <c r="N10">
        <f t="shared" si="6"/>
        <v>0</v>
      </c>
      <c r="P10" s="13">
        <f t="shared" si="8"/>
        <v>3.3636363636363638</v>
      </c>
      <c r="R10">
        <v>4</v>
      </c>
      <c r="S10">
        <v>3</v>
      </c>
      <c r="T10">
        <v>2</v>
      </c>
      <c r="U10">
        <v>5</v>
      </c>
      <c r="V10">
        <v>3</v>
      </c>
      <c r="W10">
        <v>4</v>
      </c>
      <c r="X10">
        <v>4</v>
      </c>
      <c r="Y10">
        <v>2</v>
      </c>
      <c r="Z10">
        <v>3</v>
      </c>
      <c r="AA10">
        <v>3</v>
      </c>
    </row>
    <row r="11" spans="1:27" x14ac:dyDescent="0.25">
      <c r="A11">
        <v>9</v>
      </c>
      <c r="B11" t="str">
        <f t="shared" si="9"/>
        <v>1c</v>
      </c>
      <c r="D11" s="9">
        <v>7</v>
      </c>
      <c r="E11">
        <f>MATCH(G11,I$2:I$47,0)-1</f>
        <v>1</v>
      </c>
      <c r="F11">
        <f t="shared" si="1"/>
        <v>3</v>
      </c>
      <c r="G11" s="1" t="str">
        <f t="shared" si="2"/>
        <v>1</v>
      </c>
      <c r="H11" s="1">
        <f t="shared" si="7"/>
        <v>2</v>
      </c>
      <c r="I11" t="str">
        <f t="shared" si="3"/>
        <v>1.3</v>
      </c>
      <c r="J11" t="s">
        <v>641</v>
      </c>
      <c r="L11" s="1">
        <f t="shared" si="4"/>
        <v>4</v>
      </c>
      <c r="M11" s="1" t="str">
        <f t="shared" si="5"/>
        <v>1</v>
      </c>
      <c r="N11">
        <f t="shared" si="6"/>
        <v>0</v>
      </c>
      <c r="P11" s="13">
        <f t="shared" si="8"/>
        <v>7</v>
      </c>
      <c r="R11">
        <v>7</v>
      </c>
      <c r="S11">
        <v>7</v>
      </c>
      <c r="T11">
        <v>10</v>
      </c>
      <c r="U11">
        <v>8</v>
      </c>
      <c r="V11">
        <v>6</v>
      </c>
      <c r="W11">
        <v>8</v>
      </c>
      <c r="X11">
        <v>8</v>
      </c>
      <c r="Y11">
        <v>5</v>
      </c>
      <c r="Z11">
        <v>5</v>
      </c>
      <c r="AA11">
        <v>6</v>
      </c>
    </row>
    <row r="12" spans="1:27" x14ac:dyDescent="0.25">
      <c r="A12">
        <v>10</v>
      </c>
      <c r="B12" t="str">
        <f t="shared" si="9"/>
        <v>1c1</v>
      </c>
      <c r="D12" s="10">
        <v>7</v>
      </c>
      <c r="E12">
        <f>MATCH(G12,I$2:I$47,0)-1</f>
        <v>9</v>
      </c>
      <c r="F12">
        <f t="shared" si="1"/>
        <v>5</v>
      </c>
      <c r="G12" s="1" t="str">
        <f t="shared" si="2"/>
        <v>1.3</v>
      </c>
      <c r="H12" s="1">
        <f t="shared" si="7"/>
        <v>3</v>
      </c>
      <c r="I12" t="str">
        <f t="shared" si="3"/>
        <v>1.3.1</v>
      </c>
      <c r="J12" t="s">
        <v>642</v>
      </c>
      <c r="L12" s="1">
        <f t="shared" si="4"/>
        <v>6</v>
      </c>
      <c r="M12" s="1" t="str">
        <f t="shared" si="5"/>
        <v>1.3</v>
      </c>
      <c r="N12">
        <f t="shared" si="6"/>
        <v>0</v>
      </c>
      <c r="P12" s="13">
        <f t="shared" si="8"/>
        <v>7.5454545454545459</v>
      </c>
      <c r="R12">
        <v>8</v>
      </c>
      <c r="S12">
        <v>8</v>
      </c>
      <c r="T12">
        <v>9</v>
      </c>
      <c r="U12">
        <v>9</v>
      </c>
      <c r="V12">
        <v>6</v>
      </c>
      <c r="W12">
        <v>7</v>
      </c>
      <c r="X12">
        <v>8</v>
      </c>
      <c r="Y12">
        <v>6</v>
      </c>
      <c r="Z12">
        <v>9</v>
      </c>
      <c r="AA12">
        <v>6</v>
      </c>
    </row>
    <row r="13" spans="1:27" x14ac:dyDescent="0.25">
      <c r="A13">
        <v>11</v>
      </c>
      <c r="B13" t="str">
        <f t="shared" si="9"/>
        <v>1c2</v>
      </c>
      <c r="D13" s="10">
        <v>7</v>
      </c>
      <c r="E13">
        <f>MATCH(G13,I$2:I$47,0)-1</f>
        <v>9</v>
      </c>
      <c r="F13">
        <f t="shared" si="1"/>
        <v>5</v>
      </c>
      <c r="G13" s="1" t="str">
        <f t="shared" si="2"/>
        <v>1.3</v>
      </c>
      <c r="H13" s="1">
        <f t="shared" si="7"/>
        <v>3</v>
      </c>
      <c r="I13" t="str">
        <f t="shared" si="3"/>
        <v>1.3.2</v>
      </c>
      <c r="J13" t="s">
        <v>643</v>
      </c>
      <c r="L13" s="1">
        <f t="shared" si="4"/>
        <v>6</v>
      </c>
      <c r="M13" s="1" t="str">
        <f t="shared" si="5"/>
        <v>1.3</v>
      </c>
      <c r="N13">
        <f t="shared" si="6"/>
        <v>0</v>
      </c>
      <c r="P13" s="13">
        <f t="shared" si="8"/>
        <v>7</v>
      </c>
      <c r="R13">
        <v>6</v>
      </c>
      <c r="S13">
        <v>6</v>
      </c>
      <c r="T13">
        <v>8</v>
      </c>
      <c r="U13">
        <v>8</v>
      </c>
      <c r="V13">
        <v>8</v>
      </c>
      <c r="W13">
        <v>6</v>
      </c>
      <c r="X13">
        <v>5</v>
      </c>
      <c r="Y13">
        <v>7</v>
      </c>
      <c r="Z13">
        <v>10</v>
      </c>
      <c r="AA13">
        <v>6</v>
      </c>
    </row>
    <row r="14" spans="1:27" x14ac:dyDescent="0.25">
      <c r="A14">
        <v>12</v>
      </c>
      <c r="B14" t="str">
        <f t="shared" si="9"/>
        <v>1c3</v>
      </c>
      <c r="D14" s="10">
        <v>9</v>
      </c>
      <c r="E14">
        <f>MATCH(G14,I$2:I$47,0)-1</f>
        <v>9</v>
      </c>
      <c r="F14">
        <f t="shared" si="1"/>
        <v>5</v>
      </c>
      <c r="G14" s="1" t="str">
        <f t="shared" si="2"/>
        <v>1.3</v>
      </c>
      <c r="H14" s="1">
        <f t="shared" si="7"/>
        <v>3</v>
      </c>
      <c r="I14" t="str">
        <f t="shared" si="3"/>
        <v>1.3.3</v>
      </c>
      <c r="J14" t="s">
        <v>644</v>
      </c>
      <c r="L14" s="1">
        <f t="shared" si="4"/>
        <v>6</v>
      </c>
      <c r="M14" s="1" t="str">
        <f t="shared" si="5"/>
        <v>1.3</v>
      </c>
      <c r="N14">
        <f t="shared" si="6"/>
        <v>0</v>
      </c>
      <c r="P14" s="13">
        <f t="shared" si="8"/>
        <v>9</v>
      </c>
      <c r="R14">
        <v>9</v>
      </c>
      <c r="S14">
        <v>10</v>
      </c>
      <c r="T14">
        <v>8</v>
      </c>
      <c r="U14">
        <v>10</v>
      </c>
      <c r="V14">
        <v>9</v>
      </c>
      <c r="W14">
        <v>8</v>
      </c>
      <c r="X14">
        <v>9</v>
      </c>
      <c r="Y14">
        <v>10</v>
      </c>
      <c r="Z14">
        <v>9</v>
      </c>
      <c r="AA14">
        <v>8</v>
      </c>
    </row>
    <row r="15" spans="1:27" x14ac:dyDescent="0.25">
      <c r="A15">
        <v>13</v>
      </c>
      <c r="B15" t="str">
        <f t="shared" si="9"/>
        <v>1c4</v>
      </c>
      <c r="D15" s="10">
        <v>8</v>
      </c>
      <c r="E15">
        <f>MATCH(G15,I$2:I$47,0)-1</f>
        <v>9</v>
      </c>
      <c r="F15">
        <f t="shared" si="1"/>
        <v>5</v>
      </c>
      <c r="G15" s="1" t="str">
        <f t="shared" si="2"/>
        <v>1.3</v>
      </c>
      <c r="H15" s="1">
        <f t="shared" si="7"/>
        <v>3</v>
      </c>
      <c r="I15" t="str">
        <f t="shared" si="3"/>
        <v>1.3.4</v>
      </c>
      <c r="J15" t="s">
        <v>645</v>
      </c>
      <c r="L15" s="1">
        <f t="shared" si="4"/>
        <v>6</v>
      </c>
      <c r="M15" s="1" t="str">
        <f t="shared" si="5"/>
        <v>1.3</v>
      </c>
      <c r="N15">
        <f t="shared" si="6"/>
        <v>0</v>
      </c>
      <c r="P15" s="13">
        <f t="shared" si="8"/>
        <v>8</v>
      </c>
      <c r="R15">
        <v>7</v>
      </c>
      <c r="S15">
        <v>10</v>
      </c>
      <c r="T15">
        <v>8</v>
      </c>
      <c r="U15">
        <v>7</v>
      </c>
      <c r="V15">
        <v>8</v>
      </c>
      <c r="W15">
        <v>8</v>
      </c>
      <c r="X15">
        <v>9</v>
      </c>
      <c r="Y15">
        <v>10</v>
      </c>
      <c r="Z15">
        <v>5</v>
      </c>
      <c r="AA15">
        <v>8</v>
      </c>
    </row>
    <row r="16" spans="1:27" x14ac:dyDescent="0.25">
      <c r="A16">
        <v>14</v>
      </c>
      <c r="B16" t="str">
        <f t="shared" si="9"/>
        <v>1c5</v>
      </c>
      <c r="D16" s="10">
        <v>6</v>
      </c>
      <c r="E16">
        <f>MATCH(G16,I$2:I$47,0)-1</f>
        <v>9</v>
      </c>
      <c r="F16">
        <f t="shared" si="1"/>
        <v>5</v>
      </c>
      <c r="G16" s="1" t="str">
        <f t="shared" si="2"/>
        <v>1.3</v>
      </c>
      <c r="H16" s="1">
        <f t="shared" si="7"/>
        <v>3</v>
      </c>
      <c r="I16" t="str">
        <f t="shared" si="3"/>
        <v>1.3.5</v>
      </c>
      <c r="J16" t="s">
        <v>646</v>
      </c>
      <c r="L16" s="1">
        <f t="shared" si="4"/>
        <v>6</v>
      </c>
      <c r="M16" s="1" t="str">
        <f t="shared" si="5"/>
        <v>1.3</v>
      </c>
      <c r="N16">
        <f t="shared" si="6"/>
        <v>0</v>
      </c>
      <c r="P16" s="13">
        <f t="shared" si="8"/>
        <v>7</v>
      </c>
      <c r="R16">
        <v>7</v>
      </c>
      <c r="S16">
        <v>7</v>
      </c>
      <c r="T16">
        <v>7</v>
      </c>
      <c r="U16">
        <v>8</v>
      </c>
      <c r="V16">
        <v>7</v>
      </c>
      <c r="W16">
        <v>7</v>
      </c>
      <c r="X16">
        <v>7</v>
      </c>
      <c r="Y16">
        <v>7</v>
      </c>
      <c r="Z16">
        <v>7</v>
      </c>
      <c r="AA16">
        <v>7</v>
      </c>
    </row>
    <row r="17" spans="1:27" x14ac:dyDescent="0.25">
      <c r="A17">
        <v>15</v>
      </c>
      <c r="B17" t="str">
        <f t="shared" si="9"/>
        <v>1c6</v>
      </c>
      <c r="D17" s="10">
        <v>9</v>
      </c>
      <c r="E17">
        <f>MATCH(G17,I$2:I$47,0)-1</f>
        <v>9</v>
      </c>
      <c r="F17">
        <f t="shared" si="1"/>
        <v>5</v>
      </c>
      <c r="G17" s="1" t="str">
        <f t="shared" si="2"/>
        <v>1.3</v>
      </c>
      <c r="H17" s="1">
        <f t="shared" si="7"/>
        <v>3</v>
      </c>
      <c r="I17" t="str">
        <f t="shared" si="3"/>
        <v>1.3.6</v>
      </c>
      <c r="J17" t="s">
        <v>647</v>
      </c>
      <c r="L17" s="1">
        <f t="shared" si="4"/>
        <v>6</v>
      </c>
      <c r="M17" s="1" t="str">
        <f t="shared" si="5"/>
        <v>1.3</v>
      </c>
      <c r="N17">
        <f t="shared" si="6"/>
        <v>0</v>
      </c>
      <c r="P17" s="13">
        <f t="shared" si="8"/>
        <v>8.454545454545455</v>
      </c>
      <c r="R17">
        <v>8</v>
      </c>
      <c r="S17">
        <v>7</v>
      </c>
      <c r="T17">
        <v>9</v>
      </c>
      <c r="U17">
        <v>9</v>
      </c>
      <c r="V17">
        <v>10</v>
      </c>
      <c r="W17">
        <v>7</v>
      </c>
      <c r="X17">
        <v>8</v>
      </c>
      <c r="Y17">
        <v>8</v>
      </c>
      <c r="Z17">
        <v>8</v>
      </c>
      <c r="AA17">
        <v>10</v>
      </c>
    </row>
    <row r="18" spans="1:27" x14ac:dyDescent="0.25">
      <c r="A18">
        <f>A17+1</f>
        <v>16</v>
      </c>
      <c r="B18" t="str">
        <f t="shared" si="9"/>
        <v>1c7</v>
      </c>
      <c r="D18" s="10">
        <v>6</v>
      </c>
      <c r="E18">
        <f>MATCH(G18,I$2:I$47,0)-1</f>
        <v>9</v>
      </c>
      <c r="F18">
        <f t="shared" si="1"/>
        <v>5</v>
      </c>
      <c r="G18" s="1" t="str">
        <f t="shared" si="2"/>
        <v>1.3</v>
      </c>
      <c r="H18" s="1">
        <f t="shared" si="7"/>
        <v>3</v>
      </c>
      <c r="I18" t="str">
        <f t="shared" si="3"/>
        <v>1.3.7</v>
      </c>
      <c r="J18" t="s">
        <v>648</v>
      </c>
      <c r="L18" s="1">
        <f t="shared" si="4"/>
        <v>6</v>
      </c>
      <c r="M18" s="1" t="str">
        <f t="shared" si="5"/>
        <v>1.3</v>
      </c>
      <c r="N18">
        <f t="shared" si="6"/>
        <v>0</v>
      </c>
      <c r="P18" s="13">
        <f t="shared" si="8"/>
        <v>6.1818181818181817</v>
      </c>
      <c r="R18">
        <v>4</v>
      </c>
      <c r="S18">
        <v>7</v>
      </c>
      <c r="T18">
        <v>3</v>
      </c>
      <c r="U18">
        <v>6</v>
      </c>
      <c r="V18">
        <v>10</v>
      </c>
      <c r="W18">
        <v>6</v>
      </c>
      <c r="X18">
        <v>7</v>
      </c>
      <c r="Y18">
        <v>7</v>
      </c>
      <c r="Z18">
        <v>7</v>
      </c>
      <c r="AA18">
        <v>5</v>
      </c>
    </row>
    <row r="19" spans="1:27" x14ac:dyDescent="0.25">
      <c r="A19">
        <f t="shared" ref="A19:A47" si="10">A18+1</f>
        <v>17</v>
      </c>
      <c r="B19" t="str">
        <f t="shared" si="9"/>
        <v>2</v>
      </c>
      <c r="D19" s="8">
        <v>7</v>
      </c>
      <c r="E19">
        <f>MATCH(G19,I$2:I$47,0)-1</f>
        <v>0</v>
      </c>
      <c r="F19">
        <f t="shared" si="1"/>
        <v>1</v>
      </c>
      <c r="G19" s="1">
        <f t="shared" si="2"/>
        <v>0</v>
      </c>
      <c r="H19" s="1">
        <f t="shared" si="7"/>
        <v>1</v>
      </c>
      <c r="I19" t="str">
        <f t="shared" si="3"/>
        <v>2</v>
      </c>
      <c r="J19" t="s">
        <v>649</v>
      </c>
      <c r="L19" s="1">
        <f t="shared" si="4"/>
        <v>2</v>
      </c>
      <c r="M19" s="1">
        <f t="shared" si="5"/>
        <v>0</v>
      </c>
      <c r="N19">
        <f t="shared" si="6"/>
        <v>0</v>
      </c>
      <c r="P19" s="13">
        <f t="shared" si="8"/>
        <v>7.0909090909090908</v>
      </c>
      <c r="R19">
        <v>6</v>
      </c>
      <c r="S19">
        <v>6</v>
      </c>
      <c r="T19">
        <v>9</v>
      </c>
      <c r="U19">
        <v>8</v>
      </c>
      <c r="V19">
        <v>6</v>
      </c>
      <c r="W19">
        <v>10</v>
      </c>
      <c r="X19">
        <v>7</v>
      </c>
      <c r="Y19">
        <v>6</v>
      </c>
      <c r="Z19">
        <v>7</v>
      </c>
      <c r="AA19">
        <v>6</v>
      </c>
    </row>
    <row r="20" spans="1:27" x14ac:dyDescent="0.25">
      <c r="A20">
        <f t="shared" si="10"/>
        <v>18</v>
      </c>
      <c r="B20" t="str">
        <f t="shared" si="9"/>
        <v>2a</v>
      </c>
      <c r="D20" s="9">
        <v>7</v>
      </c>
      <c r="E20">
        <f>MATCH(G20,I$2:I$47,0)-1</f>
        <v>17</v>
      </c>
      <c r="F20">
        <f t="shared" si="1"/>
        <v>3</v>
      </c>
      <c r="G20" s="1" t="str">
        <f t="shared" si="2"/>
        <v>2</v>
      </c>
      <c r="H20" s="1">
        <f t="shared" si="7"/>
        <v>2</v>
      </c>
      <c r="I20" t="str">
        <f t="shared" si="3"/>
        <v>2.1</v>
      </c>
      <c r="J20" t="s">
        <v>650</v>
      </c>
      <c r="L20" s="1">
        <f t="shared" si="4"/>
        <v>4</v>
      </c>
      <c r="M20" s="1" t="str">
        <f t="shared" si="5"/>
        <v>2</v>
      </c>
      <c r="N20">
        <f t="shared" si="6"/>
        <v>0</v>
      </c>
      <c r="P20" s="13">
        <f t="shared" si="8"/>
        <v>7.5454545454545459</v>
      </c>
      <c r="R20">
        <v>6</v>
      </c>
      <c r="S20">
        <v>6</v>
      </c>
      <c r="T20">
        <v>10</v>
      </c>
      <c r="U20">
        <v>7</v>
      </c>
      <c r="V20">
        <v>9</v>
      </c>
      <c r="W20">
        <v>6</v>
      </c>
      <c r="X20">
        <v>8</v>
      </c>
      <c r="Y20">
        <v>6</v>
      </c>
      <c r="Z20">
        <v>10</v>
      </c>
      <c r="AA20">
        <v>8</v>
      </c>
    </row>
    <row r="21" spans="1:27" x14ac:dyDescent="0.25">
      <c r="A21">
        <f t="shared" si="10"/>
        <v>19</v>
      </c>
      <c r="B21" t="str">
        <f t="shared" si="9"/>
        <v>2a1</v>
      </c>
      <c r="D21" s="10">
        <v>9</v>
      </c>
      <c r="E21">
        <f>MATCH(G21,I$2:I$47,0)-1</f>
        <v>18</v>
      </c>
      <c r="F21">
        <f t="shared" si="1"/>
        <v>5</v>
      </c>
      <c r="G21" s="1" t="str">
        <f t="shared" si="2"/>
        <v>2.1</v>
      </c>
      <c r="H21" s="1">
        <f t="shared" si="7"/>
        <v>3</v>
      </c>
      <c r="I21" t="str">
        <f t="shared" si="3"/>
        <v>2.1.1</v>
      </c>
      <c r="J21" t="s">
        <v>651</v>
      </c>
      <c r="L21" s="1">
        <f t="shared" si="4"/>
        <v>6</v>
      </c>
      <c r="M21" s="1" t="str">
        <f t="shared" si="5"/>
        <v>2.1</v>
      </c>
      <c r="N21">
        <f t="shared" si="6"/>
        <v>0</v>
      </c>
      <c r="P21" s="13">
        <f t="shared" si="8"/>
        <v>9.3636363636363633</v>
      </c>
      <c r="R21">
        <v>10</v>
      </c>
      <c r="S21">
        <v>10</v>
      </c>
      <c r="T21">
        <v>10</v>
      </c>
      <c r="U21">
        <v>9</v>
      </c>
      <c r="V21">
        <v>8</v>
      </c>
      <c r="W21">
        <v>9</v>
      </c>
      <c r="X21">
        <v>9</v>
      </c>
      <c r="Y21">
        <v>9</v>
      </c>
      <c r="Z21">
        <v>10</v>
      </c>
      <c r="AA21">
        <v>10</v>
      </c>
    </row>
    <row r="22" spans="1:27" x14ac:dyDescent="0.25">
      <c r="A22">
        <f t="shared" si="10"/>
        <v>20</v>
      </c>
      <c r="B22" t="str">
        <f t="shared" si="9"/>
        <v>2a2</v>
      </c>
      <c r="D22" s="10">
        <v>9</v>
      </c>
      <c r="E22">
        <f>MATCH(G22,I$2:I$47,0)-1</f>
        <v>18</v>
      </c>
      <c r="F22">
        <f t="shared" si="1"/>
        <v>5</v>
      </c>
      <c r="G22" s="1" t="str">
        <f t="shared" si="2"/>
        <v>2.1</v>
      </c>
      <c r="H22" s="1">
        <f t="shared" si="7"/>
        <v>3</v>
      </c>
      <c r="I22" t="str">
        <f t="shared" si="3"/>
        <v>2.1.2</v>
      </c>
      <c r="J22" t="s">
        <v>652</v>
      </c>
      <c r="L22" s="1">
        <f t="shared" si="4"/>
        <v>6</v>
      </c>
      <c r="M22" s="1" t="str">
        <f t="shared" si="5"/>
        <v>2.1</v>
      </c>
      <c r="N22">
        <f t="shared" si="6"/>
        <v>0</v>
      </c>
      <c r="P22" s="13">
        <f t="shared" si="8"/>
        <v>8.3636363636363633</v>
      </c>
      <c r="R22">
        <v>8</v>
      </c>
      <c r="S22">
        <v>10</v>
      </c>
      <c r="T22">
        <v>6</v>
      </c>
      <c r="U22">
        <v>9</v>
      </c>
      <c r="V22">
        <v>4</v>
      </c>
      <c r="W22">
        <v>9</v>
      </c>
      <c r="X22">
        <v>10</v>
      </c>
      <c r="Y22">
        <v>9</v>
      </c>
      <c r="Z22">
        <v>9</v>
      </c>
      <c r="AA22">
        <v>9</v>
      </c>
    </row>
    <row r="23" spans="1:27" x14ac:dyDescent="0.25">
      <c r="A23">
        <f t="shared" si="10"/>
        <v>21</v>
      </c>
      <c r="B23" t="str">
        <f t="shared" si="9"/>
        <v>2a3</v>
      </c>
      <c r="D23" s="10">
        <v>9</v>
      </c>
      <c r="E23">
        <f>MATCH(G23,I$2:I$47,0)-1</f>
        <v>18</v>
      </c>
      <c r="F23">
        <f t="shared" si="1"/>
        <v>5</v>
      </c>
      <c r="G23" s="1" t="str">
        <f t="shared" si="2"/>
        <v>2.1</v>
      </c>
      <c r="H23" s="1">
        <f t="shared" si="7"/>
        <v>3</v>
      </c>
      <c r="I23" t="str">
        <f t="shared" si="3"/>
        <v>2.1.3</v>
      </c>
      <c r="J23" t="s">
        <v>653</v>
      </c>
      <c r="L23" s="1">
        <f t="shared" si="4"/>
        <v>6</v>
      </c>
      <c r="M23" s="1" t="str">
        <f t="shared" si="5"/>
        <v>2.1</v>
      </c>
      <c r="N23">
        <f t="shared" si="6"/>
        <v>0</v>
      </c>
      <c r="P23" s="13">
        <f t="shared" si="8"/>
        <v>8.545454545454545</v>
      </c>
      <c r="R23">
        <v>7</v>
      </c>
      <c r="S23">
        <v>10</v>
      </c>
      <c r="T23">
        <v>8</v>
      </c>
      <c r="U23">
        <v>9</v>
      </c>
      <c r="V23">
        <v>10</v>
      </c>
      <c r="W23">
        <v>7</v>
      </c>
      <c r="X23">
        <v>10</v>
      </c>
      <c r="Y23">
        <v>9</v>
      </c>
      <c r="Z23">
        <v>7</v>
      </c>
      <c r="AA23">
        <v>8</v>
      </c>
    </row>
    <row r="24" spans="1:27" x14ac:dyDescent="0.25">
      <c r="A24">
        <f t="shared" si="10"/>
        <v>22</v>
      </c>
      <c r="B24" t="str">
        <f t="shared" si="9"/>
        <v>2b</v>
      </c>
      <c r="D24" s="9">
        <v>5</v>
      </c>
      <c r="E24">
        <f>MATCH(G24,I$2:I$47,0)-1</f>
        <v>17</v>
      </c>
      <c r="F24">
        <f t="shared" si="1"/>
        <v>3</v>
      </c>
      <c r="G24" s="1" t="str">
        <f t="shared" si="2"/>
        <v>2</v>
      </c>
      <c r="H24" s="1">
        <f t="shared" si="7"/>
        <v>2</v>
      </c>
      <c r="I24" t="str">
        <f t="shared" si="3"/>
        <v>2.2</v>
      </c>
      <c r="J24" t="s">
        <v>654</v>
      </c>
      <c r="L24" s="1">
        <f t="shared" si="4"/>
        <v>4</v>
      </c>
      <c r="M24" s="1" t="str">
        <f t="shared" si="5"/>
        <v>2</v>
      </c>
      <c r="N24">
        <f t="shared" si="6"/>
        <v>0</v>
      </c>
      <c r="P24" s="13">
        <f t="shared" si="8"/>
        <v>5.4545454545454541</v>
      </c>
      <c r="R24">
        <v>6</v>
      </c>
      <c r="S24">
        <v>5</v>
      </c>
      <c r="T24">
        <v>3</v>
      </c>
      <c r="U24">
        <v>6</v>
      </c>
      <c r="V24">
        <v>5</v>
      </c>
      <c r="W24">
        <v>5</v>
      </c>
      <c r="X24">
        <v>4</v>
      </c>
      <c r="Y24">
        <v>4</v>
      </c>
      <c r="Z24">
        <v>10</v>
      </c>
      <c r="AA24">
        <v>7</v>
      </c>
    </row>
    <row r="25" spans="1:27" x14ac:dyDescent="0.25">
      <c r="A25">
        <f t="shared" si="10"/>
        <v>23</v>
      </c>
      <c r="B25" t="str">
        <f t="shared" si="9"/>
        <v>2b1</v>
      </c>
      <c r="D25" s="10">
        <v>7</v>
      </c>
      <c r="E25">
        <f>MATCH(G25,I$2:I$47,0)-1</f>
        <v>22</v>
      </c>
      <c r="F25">
        <f t="shared" si="1"/>
        <v>5</v>
      </c>
      <c r="G25" s="1" t="str">
        <f t="shared" si="2"/>
        <v>2.2</v>
      </c>
      <c r="H25" s="1">
        <f t="shared" si="7"/>
        <v>3</v>
      </c>
      <c r="I25" t="str">
        <f t="shared" si="3"/>
        <v>2.2.1</v>
      </c>
      <c r="J25" t="s">
        <v>655</v>
      </c>
      <c r="L25" s="1">
        <f t="shared" si="4"/>
        <v>6</v>
      </c>
      <c r="M25" s="1" t="str">
        <f t="shared" si="5"/>
        <v>2.2</v>
      </c>
      <c r="N25">
        <f t="shared" si="6"/>
        <v>0</v>
      </c>
      <c r="P25" s="13">
        <f t="shared" si="8"/>
        <v>6.8181818181818183</v>
      </c>
      <c r="R25">
        <v>7</v>
      </c>
      <c r="S25">
        <v>8</v>
      </c>
      <c r="T25">
        <v>4</v>
      </c>
      <c r="U25">
        <v>7</v>
      </c>
      <c r="V25">
        <v>6</v>
      </c>
      <c r="W25">
        <v>8</v>
      </c>
      <c r="X25">
        <v>9</v>
      </c>
      <c r="Y25">
        <v>6</v>
      </c>
      <c r="Z25">
        <v>7</v>
      </c>
      <c r="AA25">
        <v>6</v>
      </c>
    </row>
    <row r="26" spans="1:27" x14ac:dyDescent="0.25">
      <c r="A26">
        <f t="shared" si="10"/>
        <v>24</v>
      </c>
      <c r="B26" t="str">
        <f t="shared" si="9"/>
        <v>2b2</v>
      </c>
      <c r="D26" s="10">
        <v>5</v>
      </c>
      <c r="E26">
        <f>MATCH(G26,I$2:I$47,0)-1</f>
        <v>22</v>
      </c>
      <c r="F26">
        <f t="shared" si="1"/>
        <v>5</v>
      </c>
      <c r="G26" s="1" t="str">
        <f t="shared" si="2"/>
        <v>2.2</v>
      </c>
      <c r="H26" s="1">
        <f t="shared" si="7"/>
        <v>3</v>
      </c>
      <c r="I26" t="str">
        <f t="shared" si="3"/>
        <v>2.2.2</v>
      </c>
      <c r="J26" t="s">
        <v>656</v>
      </c>
      <c r="L26" s="1">
        <f t="shared" si="4"/>
        <v>6</v>
      </c>
      <c r="M26" s="1" t="str">
        <f t="shared" si="5"/>
        <v>2.2</v>
      </c>
      <c r="N26">
        <f t="shared" si="6"/>
        <v>0</v>
      </c>
      <c r="P26" s="13">
        <f t="shared" si="8"/>
        <v>4.5454545454545459</v>
      </c>
      <c r="R26">
        <v>5</v>
      </c>
      <c r="S26">
        <v>6</v>
      </c>
      <c r="T26">
        <v>5</v>
      </c>
      <c r="U26">
        <v>4</v>
      </c>
      <c r="V26">
        <v>2</v>
      </c>
      <c r="W26">
        <v>5</v>
      </c>
      <c r="X26">
        <v>6</v>
      </c>
      <c r="Y26">
        <v>5</v>
      </c>
      <c r="Z26">
        <v>3</v>
      </c>
      <c r="AA26">
        <v>4</v>
      </c>
    </row>
    <row r="27" spans="1:27" x14ac:dyDescent="0.25">
      <c r="A27">
        <f t="shared" si="10"/>
        <v>25</v>
      </c>
      <c r="B27" t="str">
        <f t="shared" si="9"/>
        <v>2b3</v>
      </c>
      <c r="D27" s="10">
        <v>3</v>
      </c>
      <c r="E27">
        <f>MATCH(G27,I$2:I$47,0)-1</f>
        <v>22</v>
      </c>
      <c r="F27">
        <f t="shared" si="1"/>
        <v>5</v>
      </c>
      <c r="G27" s="1" t="str">
        <f t="shared" si="2"/>
        <v>2.2</v>
      </c>
      <c r="H27" s="1">
        <f t="shared" si="7"/>
        <v>3</v>
      </c>
      <c r="I27" t="str">
        <f t="shared" si="3"/>
        <v>2.2.3</v>
      </c>
      <c r="J27" t="s">
        <v>657</v>
      </c>
      <c r="L27" s="1">
        <f t="shared" si="4"/>
        <v>6</v>
      </c>
      <c r="M27" s="1" t="str">
        <f t="shared" si="5"/>
        <v>2.2</v>
      </c>
      <c r="N27">
        <f t="shared" si="6"/>
        <v>0</v>
      </c>
      <c r="P27" s="13">
        <f t="shared" si="8"/>
        <v>2.4545454545454546</v>
      </c>
      <c r="R27">
        <v>2</v>
      </c>
      <c r="S27">
        <v>1</v>
      </c>
      <c r="T27">
        <v>3</v>
      </c>
      <c r="U27">
        <v>3</v>
      </c>
      <c r="V27">
        <v>3</v>
      </c>
      <c r="W27">
        <v>4</v>
      </c>
      <c r="X27">
        <v>1</v>
      </c>
      <c r="Y27">
        <v>3</v>
      </c>
      <c r="Z27">
        <v>0</v>
      </c>
      <c r="AA27">
        <v>4</v>
      </c>
    </row>
    <row r="28" spans="1:27" x14ac:dyDescent="0.25">
      <c r="A28">
        <f t="shared" si="10"/>
        <v>26</v>
      </c>
      <c r="B28" t="str">
        <f t="shared" si="9"/>
        <v>2c</v>
      </c>
      <c r="D28" s="9">
        <v>10</v>
      </c>
      <c r="E28">
        <f>MATCH(G28,I$2:I$47,0)-1</f>
        <v>17</v>
      </c>
      <c r="F28">
        <f t="shared" si="1"/>
        <v>3</v>
      </c>
      <c r="G28" s="1" t="str">
        <f t="shared" si="2"/>
        <v>2</v>
      </c>
      <c r="H28" s="1">
        <f t="shared" si="7"/>
        <v>2</v>
      </c>
      <c r="I28" t="str">
        <f t="shared" si="3"/>
        <v>2.3</v>
      </c>
      <c r="J28" t="s">
        <v>658</v>
      </c>
      <c r="L28" s="1">
        <f t="shared" si="4"/>
        <v>4</v>
      </c>
      <c r="M28" s="1" t="str">
        <f t="shared" si="5"/>
        <v>2</v>
      </c>
      <c r="N28">
        <f t="shared" si="6"/>
        <v>0</v>
      </c>
      <c r="P28" s="13">
        <f t="shared" si="8"/>
        <v>9.3636363636363633</v>
      </c>
      <c r="R28">
        <v>9</v>
      </c>
      <c r="S28">
        <v>8</v>
      </c>
      <c r="T28">
        <v>9</v>
      </c>
      <c r="U28">
        <v>10</v>
      </c>
      <c r="V28">
        <v>7</v>
      </c>
      <c r="W28">
        <v>10</v>
      </c>
      <c r="X28">
        <v>10</v>
      </c>
      <c r="Y28">
        <v>10</v>
      </c>
      <c r="Z28">
        <v>10</v>
      </c>
      <c r="AA28">
        <v>10</v>
      </c>
    </row>
    <row r="29" spans="1:27" x14ac:dyDescent="0.25">
      <c r="A29">
        <f t="shared" si="10"/>
        <v>27</v>
      </c>
      <c r="B29" t="str">
        <f t="shared" si="9"/>
        <v>2c1</v>
      </c>
      <c r="D29" s="10">
        <v>5</v>
      </c>
      <c r="E29">
        <f>MATCH(G29,I$2:I$47,0)-1</f>
        <v>26</v>
      </c>
      <c r="F29">
        <f t="shared" si="1"/>
        <v>5</v>
      </c>
      <c r="G29" s="1" t="str">
        <f t="shared" si="2"/>
        <v>2.3</v>
      </c>
      <c r="H29" s="1">
        <f t="shared" si="7"/>
        <v>3</v>
      </c>
      <c r="I29" t="str">
        <f t="shared" si="3"/>
        <v>2.3.1</v>
      </c>
      <c r="J29" t="s">
        <v>659</v>
      </c>
      <c r="L29" s="1">
        <f t="shared" si="4"/>
        <v>6</v>
      </c>
      <c r="M29" s="1" t="str">
        <f t="shared" si="5"/>
        <v>2.3</v>
      </c>
      <c r="N29">
        <f t="shared" si="6"/>
        <v>0</v>
      </c>
      <c r="P29" s="13">
        <f t="shared" si="8"/>
        <v>4.8181818181818183</v>
      </c>
      <c r="R29">
        <v>4</v>
      </c>
      <c r="S29">
        <v>2</v>
      </c>
      <c r="T29">
        <v>6</v>
      </c>
      <c r="U29">
        <v>5</v>
      </c>
      <c r="V29">
        <v>5</v>
      </c>
      <c r="W29">
        <v>6</v>
      </c>
      <c r="X29">
        <v>6</v>
      </c>
      <c r="Y29">
        <v>6</v>
      </c>
      <c r="Z29">
        <v>3</v>
      </c>
      <c r="AA29">
        <v>5</v>
      </c>
    </row>
    <row r="30" spans="1:27" x14ac:dyDescent="0.25">
      <c r="A30">
        <f t="shared" si="10"/>
        <v>28</v>
      </c>
      <c r="B30" t="str">
        <f t="shared" si="9"/>
        <v>2c2</v>
      </c>
      <c r="D30" s="10">
        <v>7</v>
      </c>
      <c r="E30">
        <f>MATCH(G30,I$2:I$47,0)-1</f>
        <v>26</v>
      </c>
      <c r="F30">
        <f t="shared" si="1"/>
        <v>5</v>
      </c>
      <c r="G30" s="1" t="str">
        <f t="shared" si="2"/>
        <v>2.3</v>
      </c>
      <c r="H30" s="1">
        <f t="shared" si="7"/>
        <v>3</v>
      </c>
      <c r="I30" t="str">
        <f t="shared" si="3"/>
        <v>2.3.2</v>
      </c>
      <c r="J30" t="s">
        <v>660</v>
      </c>
      <c r="L30" s="1">
        <f t="shared" si="4"/>
        <v>6</v>
      </c>
      <c r="M30" s="1" t="str">
        <f t="shared" si="5"/>
        <v>2.3</v>
      </c>
      <c r="N30">
        <f t="shared" si="6"/>
        <v>0</v>
      </c>
      <c r="P30" s="13">
        <f t="shared" si="8"/>
        <v>7.5454545454545459</v>
      </c>
      <c r="R30">
        <v>7</v>
      </c>
      <c r="S30">
        <v>8</v>
      </c>
      <c r="T30">
        <v>9</v>
      </c>
      <c r="U30">
        <v>7</v>
      </c>
      <c r="V30">
        <v>10</v>
      </c>
      <c r="W30">
        <v>6</v>
      </c>
      <c r="X30">
        <v>6</v>
      </c>
      <c r="Y30">
        <v>7</v>
      </c>
      <c r="Z30">
        <v>10</v>
      </c>
      <c r="AA30">
        <v>6</v>
      </c>
    </row>
    <row r="31" spans="1:27" x14ac:dyDescent="0.25">
      <c r="A31">
        <f t="shared" si="10"/>
        <v>29</v>
      </c>
      <c r="B31" t="str">
        <f t="shared" si="9"/>
        <v>2c3</v>
      </c>
      <c r="D31" s="10">
        <v>9</v>
      </c>
      <c r="E31">
        <f>MATCH(G31,I$2:I$47,0)-1</f>
        <v>26</v>
      </c>
      <c r="F31">
        <f t="shared" si="1"/>
        <v>5</v>
      </c>
      <c r="G31" s="1" t="str">
        <f t="shared" si="2"/>
        <v>2.3</v>
      </c>
      <c r="H31" s="1">
        <f t="shared" si="7"/>
        <v>3</v>
      </c>
      <c r="I31" t="str">
        <f t="shared" si="3"/>
        <v>2.3.3</v>
      </c>
      <c r="J31" t="s">
        <v>661</v>
      </c>
      <c r="L31" s="1">
        <f t="shared" si="4"/>
        <v>6</v>
      </c>
      <c r="M31" s="1" t="str">
        <f t="shared" si="5"/>
        <v>2.3</v>
      </c>
      <c r="N31">
        <f t="shared" si="6"/>
        <v>0</v>
      </c>
      <c r="P31" s="13">
        <f t="shared" si="8"/>
        <v>8.454545454545455</v>
      </c>
      <c r="R31">
        <v>9</v>
      </c>
      <c r="S31">
        <v>10</v>
      </c>
      <c r="T31">
        <v>8</v>
      </c>
      <c r="U31">
        <v>7</v>
      </c>
      <c r="V31">
        <v>7</v>
      </c>
      <c r="W31">
        <v>9</v>
      </c>
      <c r="X31">
        <v>7</v>
      </c>
      <c r="Y31">
        <v>9</v>
      </c>
      <c r="Z31">
        <v>10</v>
      </c>
      <c r="AA31">
        <v>8</v>
      </c>
    </row>
    <row r="32" spans="1:27" x14ac:dyDescent="0.25">
      <c r="A32">
        <f t="shared" si="10"/>
        <v>30</v>
      </c>
      <c r="B32" t="str">
        <f t="shared" si="9"/>
        <v>2c4</v>
      </c>
      <c r="D32" s="10">
        <v>10</v>
      </c>
      <c r="E32">
        <f>MATCH(G32,I$2:I$47,0)-1</f>
        <v>26</v>
      </c>
      <c r="F32">
        <f t="shared" si="1"/>
        <v>5</v>
      </c>
      <c r="G32" s="1" t="str">
        <f t="shared" si="2"/>
        <v>2.3</v>
      </c>
      <c r="H32" s="1">
        <f t="shared" si="7"/>
        <v>3</v>
      </c>
      <c r="I32" t="str">
        <f t="shared" si="3"/>
        <v>2.3.4</v>
      </c>
      <c r="J32" t="s">
        <v>662</v>
      </c>
      <c r="L32" s="1">
        <f t="shared" si="4"/>
        <v>6</v>
      </c>
      <c r="M32" s="1" t="str">
        <f t="shared" si="5"/>
        <v>2.3</v>
      </c>
      <c r="N32">
        <f t="shared" si="6"/>
        <v>0</v>
      </c>
      <c r="P32" s="13">
        <f t="shared" si="8"/>
        <v>9.8181818181818183</v>
      </c>
      <c r="R32">
        <v>10</v>
      </c>
      <c r="S32">
        <v>9</v>
      </c>
      <c r="T32">
        <v>10</v>
      </c>
      <c r="U32">
        <v>10</v>
      </c>
      <c r="V32">
        <v>10</v>
      </c>
      <c r="W32">
        <v>10</v>
      </c>
      <c r="X32">
        <v>10</v>
      </c>
      <c r="Y32">
        <v>10</v>
      </c>
      <c r="Z32">
        <v>10</v>
      </c>
      <c r="AA32">
        <v>9</v>
      </c>
    </row>
    <row r="33" spans="1:27" x14ac:dyDescent="0.25">
      <c r="A33">
        <f t="shared" si="10"/>
        <v>31</v>
      </c>
      <c r="B33" t="str">
        <f t="shared" si="9"/>
        <v>2d</v>
      </c>
      <c r="D33" s="9">
        <v>9</v>
      </c>
      <c r="E33">
        <f>MATCH(G33,I$2:I$47,0)-1</f>
        <v>17</v>
      </c>
      <c r="F33">
        <f t="shared" si="1"/>
        <v>3</v>
      </c>
      <c r="G33" s="1" t="str">
        <f t="shared" si="2"/>
        <v>2</v>
      </c>
      <c r="H33" s="1">
        <f t="shared" si="7"/>
        <v>2</v>
      </c>
      <c r="I33" t="str">
        <f t="shared" si="3"/>
        <v>2.4</v>
      </c>
      <c r="J33" t="s">
        <v>663</v>
      </c>
      <c r="L33" s="1">
        <f t="shared" si="4"/>
        <v>4</v>
      </c>
      <c r="M33" s="1" t="str">
        <f t="shared" si="5"/>
        <v>2</v>
      </c>
      <c r="N33">
        <f t="shared" si="6"/>
        <v>0</v>
      </c>
      <c r="P33" s="13">
        <f t="shared" si="8"/>
        <v>8.9090909090909083</v>
      </c>
      <c r="R33">
        <v>10</v>
      </c>
      <c r="S33">
        <v>10</v>
      </c>
      <c r="T33">
        <v>8</v>
      </c>
      <c r="U33">
        <v>7</v>
      </c>
      <c r="V33">
        <v>6</v>
      </c>
      <c r="W33">
        <v>10</v>
      </c>
      <c r="X33">
        <v>9</v>
      </c>
      <c r="Y33">
        <v>10</v>
      </c>
      <c r="Z33">
        <v>10</v>
      </c>
      <c r="AA33">
        <v>9</v>
      </c>
    </row>
    <row r="34" spans="1:27" x14ac:dyDescent="0.25">
      <c r="A34">
        <f t="shared" si="10"/>
        <v>32</v>
      </c>
      <c r="B34" t="str">
        <f t="shared" si="9"/>
        <v>2d1</v>
      </c>
      <c r="D34" s="10">
        <v>10</v>
      </c>
      <c r="E34">
        <f>MATCH(G34,I$2:I$47,0)-1</f>
        <v>31</v>
      </c>
      <c r="F34">
        <f t="shared" si="1"/>
        <v>5</v>
      </c>
      <c r="G34" s="1" t="str">
        <f t="shared" si="2"/>
        <v>2.4</v>
      </c>
      <c r="H34" s="1">
        <f t="shared" si="7"/>
        <v>3</v>
      </c>
      <c r="I34" t="str">
        <f t="shared" si="3"/>
        <v>2.4.1</v>
      </c>
      <c r="J34" t="s">
        <v>664</v>
      </c>
      <c r="L34" s="1">
        <f t="shared" si="4"/>
        <v>6</v>
      </c>
      <c r="M34" s="1" t="str">
        <f t="shared" si="5"/>
        <v>2.4</v>
      </c>
      <c r="N34">
        <f t="shared" si="6"/>
        <v>0</v>
      </c>
      <c r="P34" s="13">
        <f t="shared" si="8"/>
        <v>9.7272727272727266</v>
      </c>
      <c r="R34">
        <v>10</v>
      </c>
      <c r="S34">
        <v>9</v>
      </c>
      <c r="T34">
        <v>10</v>
      </c>
      <c r="U34">
        <v>10</v>
      </c>
      <c r="V34">
        <v>8</v>
      </c>
      <c r="W34">
        <v>10</v>
      </c>
      <c r="X34">
        <v>10</v>
      </c>
      <c r="Y34">
        <v>10</v>
      </c>
      <c r="Z34">
        <v>10</v>
      </c>
      <c r="AA34">
        <v>10</v>
      </c>
    </row>
    <row r="35" spans="1:27" x14ac:dyDescent="0.25">
      <c r="A35">
        <f t="shared" si="10"/>
        <v>33</v>
      </c>
      <c r="B35" t="str">
        <f t="shared" si="9"/>
        <v>2d1a</v>
      </c>
      <c r="D35" s="1">
        <v>6</v>
      </c>
      <c r="E35">
        <f>MATCH(G35,I$2:I$47,0)-1</f>
        <v>32</v>
      </c>
      <c r="F35">
        <f t="shared" si="1"/>
        <v>7</v>
      </c>
      <c r="G35" s="1" t="str">
        <f t="shared" si="2"/>
        <v>2.4.1</v>
      </c>
      <c r="H35" s="1">
        <f t="shared" si="7"/>
        <v>4</v>
      </c>
      <c r="I35" t="str">
        <f t="shared" si="3"/>
        <v>2.4.1.1</v>
      </c>
      <c r="J35" t="s">
        <v>665</v>
      </c>
      <c r="L35" s="1">
        <f t="shared" si="4"/>
        <v>8</v>
      </c>
      <c r="M35" s="1" t="str">
        <f t="shared" si="5"/>
        <v>2.4.1</v>
      </c>
      <c r="N35">
        <f t="shared" si="6"/>
        <v>0</v>
      </c>
      <c r="P35" s="13">
        <f t="shared" si="8"/>
        <v>5.5454545454545459</v>
      </c>
      <c r="R35">
        <v>5</v>
      </c>
      <c r="S35">
        <v>7</v>
      </c>
      <c r="T35">
        <v>3</v>
      </c>
      <c r="U35">
        <v>5</v>
      </c>
      <c r="V35">
        <v>4</v>
      </c>
      <c r="W35">
        <v>7</v>
      </c>
      <c r="X35">
        <v>5</v>
      </c>
      <c r="Y35">
        <v>7</v>
      </c>
      <c r="Z35">
        <v>4</v>
      </c>
      <c r="AA35">
        <v>8</v>
      </c>
    </row>
    <row r="36" spans="1:27" x14ac:dyDescent="0.25">
      <c r="A36">
        <f t="shared" si="10"/>
        <v>34</v>
      </c>
      <c r="B36" t="str">
        <f t="shared" si="9"/>
        <v>2d1b</v>
      </c>
      <c r="D36" s="1">
        <v>8</v>
      </c>
      <c r="E36">
        <f>MATCH(G36,I$2:I$47,0)-1</f>
        <v>32</v>
      </c>
      <c r="F36">
        <f t="shared" si="1"/>
        <v>7</v>
      </c>
      <c r="G36" s="1" t="str">
        <f t="shared" si="2"/>
        <v>2.4.1</v>
      </c>
      <c r="H36" s="1">
        <f t="shared" si="7"/>
        <v>4</v>
      </c>
      <c r="I36" t="str">
        <f t="shared" si="3"/>
        <v>2.4.1.2</v>
      </c>
      <c r="J36" t="s">
        <v>666</v>
      </c>
      <c r="L36" s="1">
        <f t="shared" si="4"/>
        <v>8</v>
      </c>
      <c r="M36" s="1" t="str">
        <f t="shared" si="5"/>
        <v>2.4.1</v>
      </c>
      <c r="N36">
        <f t="shared" si="6"/>
        <v>0</v>
      </c>
      <c r="P36" s="13">
        <f t="shared" si="8"/>
        <v>7.5454545454545459</v>
      </c>
      <c r="R36">
        <v>6</v>
      </c>
      <c r="S36">
        <v>7</v>
      </c>
      <c r="T36">
        <v>7</v>
      </c>
      <c r="U36">
        <v>8</v>
      </c>
      <c r="V36">
        <v>7</v>
      </c>
      <c r="W36">
        <v>8</v>
      </c>
      <c r="X36">
        <v>7</v>
      </c>
      <c r="Y36">
        <v>7</v>
      </c>
      <c r="Z36">
        <v>10</v>
      </c>
      <c r="AA36">
        <v>8</v>
      </c>
    </row>
    <row r="37" spans="1:27" x14ac:dyDescent="0.25">
      <c r="A37">
        <f t="shared" si="10"/>
        <v>35</v>
      </c>
      <c r="B37" t="str">
        <f t="shared" si="9"/>
        <v>2d1c</v>
      </c>
      <c r="D37" s="1">
        <v>6</v>
      </c>
      <c r="E37">
        <f>MATCH(G37,I$2:I$47,0)-1</f>
        <v>32</v>
      </c>
      <c r="F37">
        <f t="shared" si="1"/>
        <v>7</v>
      </c>
      <c r="G37" s="1" t="str">
        <f t="shared" si="2"/>
        <v>2.4.1</v>
      </c>
      <c r="H37" s="1">
        <f t="shared" si="7"/>
        <v>4</v>
      </c>
      <c r="I37" t="str">
        <f t="shared" si="3"/>
        <v>2.4.1.3</v>
      </c>
      <c r="J37" t="s">
        <v>667</v>
      </c>
      <c r="L37" s="1">
        <f t="shared" si="4"/>
        <v>8</v>
      </c>
      <c r="M37" s="1" t="str">
        <f t="shared" si="5"/>
        <v>2.4.1</v>
      </c>
      <c r="N37">
        <f t="shared" si="6"/>
        <v>0</v>
      </c>
      <c r="P37" s="13">
        <f t="shared" si="8"/>
        <v>6.2727272727272725</v>
      </c>
      <c r="R37">
        <v>6</v>
      </c>
      <c r="S37">
        <v>6</v>
      </c>
      <c r="T37">
        <v>4</v>
      </c>
      <c r="U37">
        <v>6</v>
      </c>
      <c r="V37">
        <v>10</v>
      </c>
      <c r="W37">
        <v>7</v>
      </c>
      <c r="X37">
        <v>7</v>
      </c>
      <c r="Y37">
        <v>6</v>
      </c>
      <c r="Z37">
        <v>5</v>
      </c>
      <c r="AA37">
        <v>6</v>
      </c>
    </row>
    <row r="38" spans="1:27" x14ac:dyDescent="0.25">
      <c r="A38">
        <f t="shared" si="10"/>
        <v>36</v>
      </c>
      <c r="B38" t="str">
        <f t="shared" si="9"/>
        <v>2d1d</v>
      </c>
      <c r="D38" s="1">
        <v>9</v>
      </c>
      <c r="E38">
        <f>MATCH(G38,I$2:I$47,0)-1</f>
        <v>32</v>
      </c>
      <c r="F38">
        <f t="shared" si="1"/>
        <v>7</v>
      </c>
      <c r="G38" s="1" t="str">
        <f t="shared" si="2"/>
        <v>2.4.1</v>
      </c>
      <c r="H38" s="1">
        <f t="shared" si="7"/>
        <v>4</v>
      </c>
      <c r="I38" t="str">
        <f t="shared" si="3"/>
        <v>2.4.1.4</v>
      </c>
      <c r="J38" t="s">
        <v>668</v>
      </c>
      <c r="L38" s="1">
        <f t="shared" si="4"/>
        <v>8</v>
      </c>
      <c r="M38" s="1" t="str">
        <f t="shared" si="5"/>
        <v>2.4.1</v>
      </c>
      <c r="N38">
        <f t="shared" si="6"/>
        <v>0</v>
      </c>
      <c r="P38" s="13">
        <f t="shared" si="8"/>
        <v>8.7272727272727266</v>
      </c>
      <c r="R38">
        <v>10</v>
      </c>
      <c r="S38">
        <v>8</v>
      </c>
      <c r="T38">
        <v>8</v>
      </c>
      <c r="U38">
        <v>9</v>
      </c>
      <c r="V38">
        <v>10</v>
      </c>
      <c r="W38">
        <v>8</v>
      </c>
      <c r="X38">
        <v>7</v>
      </c>
      <c r="Y38">
        <v>10</v>
      </c>
      <c r="Z38">
        <v>10</v>
      </c>
      <c r="AA38">
        <v>7</v>
      </c>
    </row>
    <row r="39" spans="1:27" x14ac:dyDescent="0.25">
      <c r="A39">
        <f t="shared" si="10"/>
        <v>37</v>
      </c>
      <c r="B39" t="str">
        <f t="shared" si="9"/>
        <v>2d2</v>
      </c>
      <c r="D39" s="10">
        <v>5</v>
      </c>
      <c r="E39">
        <f>MATCH(G39,I$2:I$47,0)-1</f>
        <v>31</v>
      </c>
      <c r="F39">
        <f t="shared" si="1"/>
        <v>5</v>
      </c>
      <c r="G39" s="1" t="str">
        <f t="shared" si="2"/>
        <v>2.4</v>
      </c>
      <c r="H39" s="1">
        <f t="shared" si="7"/>
        <v>3</v>
      </c>
      <c r="I39" t="str">
        <f t="shared" si="3"/>
        <v>2.4.2</v>
      </c>
      <c r="J39" t="s">
        <v>669</v>
      </c>
      <c r="L39" s="1">
        <f t="shared" si="4"/>
        <v>6</v>
      </c>
      <c r="M39" s="1" t="str">
        <f t="shared" si="5"/>
        <v>2.4</v>
      </c>
      <c r="N39">
        <f t="shared" si="6"/>
        <v>0</v>
      </c>
      <c r="P39" s="13">
        <f t="shared" si="8"/>
        <v>5.3636363636363633</v>
      </c>
      <c r="R39">
        <v>4</v>
      </c>
      <c r="S39">
        <v>5</v>
      </c>
      <c r="T39">
        <v>2</v>
      </c>
      <c r="U39">
        <v>5</v>
      </c>
      <c r="V39">
        <v>10</v>
      </c>
      <c r="W39">
        <v>5</v>
      </c>
      <c r="X39">
        <v>4</v>
      </c>
      <c r="Y39">
        <v>6</v>
      </c>
      <c r="Z39">
        <v>9</v>
      </c>
      <c r="AA39">
        <v>4</v>
      </c>
    </row>
    <row r="40" spans="1:27" x14ac:dyDescent="0.25">
      <c r="A40">
        <f t="shared" si="10"/>
        <v>38</v>
      </c>
      <c r="B40" t="str">
        <f t="shared" si="9"/>
        <v>2e</v>
      </c>
      <c r="D40" s="9">
        <v>4</v>
      </c>
      <c r="E40">
        <f>MATCH(G40,I$2:I$47,0)-1</f>
        <v>17</v>
      </c>
      <c r="F40">
        <f t="shared" si="1"/>
        <v>3</v>
      </c>
      <c r="G40" s="1" t="str">
        <f t="shared" si="2"/>
        <v>2</v>
      </c>
      <c r="H40" s="1">
        <f t="shared" si="7"/>
        <v>2</v>
      </c>
      <c r="I40" t="str">
        <f t="shared" si="3"/>
        <v>2.5</v>
      </c>
      <c r="J40" t="s">
        <v>670</v>
      </c>
      <c r="L40" s="1">
        <f t="shared" si="4"/>
        <v>4</v>
      </c>
      <c r="M40" s="1" t="str">
        <f t="shared" si="5"/>
        <v>2</v>
      </c>
      <c r="N40">
        <f t="shared" si="6"/>
        <v>0</v>
      </c>
      <c r="P40" s="13">
        <f t="shared" si="8"/>
        <v>4.8181818181818183</v>
      </c>
      <c r="R40">
        <v>2</v>
      </c>
      <c r="S40">
        <v>6</v>
      </c>
      <c r="T40">
        <v>7</v>
      </c>
      <c r="U40">
        <v>4</v>
      </c>
      <c r="V40">
        <v>7</v>
      </c>
      <c r="W40">
        <v>6</v>
      </c>
      <c r="X40">
        <v>5</v>
      </c>
      <c r="Y40">
        <v>5</v>
      </c>
      <c r="Z40">
        <v>2</v>
      </c>
      <c r="AA40">
        <v>5</v>
      </c>
    </row>
    <row r="41" spans="1:27" x14ac:dyDescent="0.25">
      <c r="A41">
        <f t="shared" si="10"/>
        <v>39</v>
      </c>
      <c r="B41" t="str">
        <f t="shared" si="9"/>
        <v>2e1</v>
      </c>
      <c r="D41" s="10">
        <v>9</v>
      </c>
      <c r="E41">
        <f>MATCH(G41,I$2:I$47,0)-1</f>
        <v>38</v>
      </c>
      <c r="F41">
        <f t="shared" si="1"/>
        <v>5</v>
      </c>
      <c r="G41" s="1" t="str">
        <f t="shared" si="2"/>
        <v>2.5</v>
      </c>
      <c r="H41" s="1">
        <f t="shared" si="7"/>
        <v>3</v>
      </c>
      <c r="I41" t="str">
        <f t="shared" si="3"/>
        <v>2.5.1</v>
      </c>
      <c r="J41" t="s">
        <v>671</v>
      </c>
      <c r="L41" s="1">
        <f t="shared" si="4"/>
        <v>6</v>
      </c>
      <c r="M41" s="1" t="str">
        <f t="shared" si="5"/>
        <v>2.5</v>
      </c>
      <c r="N41">
        <f t="shared" si="6"/>
        <v>0</v>
      </c>
      <c r="P41" s="13">
        <f t="shared" si="8"/>
        <v>8.2727272727272734</v>
      </c>
      <c r="R41">
        <v>9</v>
      </c>
      <c r="S41">
        <v>8</v>
      </c>
      <c r="T41">
        <v>7</v>
      </c>
      <c r="U41">
        <v>9</v>
      </c>
      <c r="V41">
        <v>10</v>
      </c>
      <c r="W41">
        <v>7</v>
      </c>
      <c r="X41">
        <v>9</v>
      </c>
      <c r="Y41">
        <v>8</v>
      </c>
      <c r="Z41">
        <v>7</v>
      </c>
      <c r="AA41">
        <v>8</v>
      </c>
    </row>
    <row r="42" spans="1:27" x14ac:dyDescent="0.25">
      <c r="A42">
        <f t="shared" si="10"/>
        <v>40</v>
      </c>
      <c r="B42" t="str">
        <f t="shared" si="9"/>
        <v>2e2</v>
      </c>
      <c r="D42" s="10">
        <v>4</v>
      </c>
      <c r="E42">
        <f>MATCH(G42,I$2:I$47,0)-1</f>
        <v>38</v>
      </c>
      <c r="F42">
        <f t="shared" si="1"/>
        <v>5</v>
      </c>
      <c r="G42" s="1" t="str">
        <f t="shared" si="2"/>
        <v>2.5</v>
      </c>
      <c r="H42" s="1">
        <f t="shared" si="7"/>
        <v>3</v>
      </c>
      <c r="I42" t="str">
        <f t="shared" si="3"/>
        <v>2.5.2</v>
      </c>
      <c r="J42" t="s">
        <v>672</v>
      </c>
      <c r="L42" s="1">
        <f t="shared" si="4"/>
        <v>6</v>
      </c>
      <c r="M42" s="1" t="str">
        <f t="shared" si="5"/>
        <v>2.5</v>
      </c>
      <c r="N42">
        <f t="shared" si="6"/>
        <v>0</v>
      </c>
      <c r="P42" s="13">
        <f t="shared" si="8"/>
        <v>4.1818181818181817</v>
      </c>
      <c r="R42">
        <v>5</v>
      </c>
      <c r="S42">
        <v>3</v>
      </c>
      <c r="T42">
        <v>4</v>
      </c>
      <c r="U42">
        <v>4</v>
      </c>
      <c r="V42">
        <v>3</v>
      </c>
      <c r="W42">
        <v>5</v>
      </c>
      <c r="X42">
        <v>5</v>
      </c>
      <c r="Y42">
        <v>3</v>
      </c>
      <c r="Z42">
        <v>7</v>
      </c>
      <c r="AA42">
        <v>3</v>
      </c>
    </row>
    <row r="43" spans="1:27" x14ac:dyDescent="0.25">
      <c r="A43">
        <f t="shared" si="10"/>
        <v>41</v>
      </c>
      <c r="B43" t="str">
        <f t="shared" si="9"/>
        <v>2f</v>
      </c>
      <c r="D43" s="9">
        <v>10</v>
      </c>
      <c r="E43">
        <f>MATCH(G43,I$2:I$47,0)-1</f>
        <v>17</v>
      </c>
      <c r="F43">
        <f t="shared" si="1"/>
        <v>3</v>
      </c>
      <c r="G43" s="1" t="str">
        <f t="shared" si="2"/>
        <v>2</v>
      </c>
      <c r="H43" s="1">
        <f t="shared" si="7"/>
        <v>2</v>
      </c>
      <c r="I43" t="str">
        <f t="shared" si="3"/>
        <v>2.6</v>
      </c>
      <c r="J43" t="s">
        <v>673</v>
      </c>
      <c r="L43" s="1">
        <f t="shared" si="4"/>
        <v>4</v>
      </c>
      <c r="M43" s="1" t="str">
        <f t="shared" si="5"/>
        <v>2</v>
      </c>
      <c r="N43">
        <f t="shared" si="6"/>
        <v>0</v>
      </c>
      <c r="P43" s="13">
        <f t="shared" si="8"/>
        <v>9.7272727272727266</v>
      </c>
      <c r="R43">
        <v>10</v>
      </c>
      <c r="S43">
        <v>10</v>
      </c>
      <c r="T43">
        <v>10</v>
      </c>
      <c r="U43">
        <v>10</v>
      </c>
      <c r="V43">
        <v>10</v>
      </c>
      <c r="W43">
        <v>9</v>
      </c>
      <c r="X43">
        <v>10</v>
      </c>
      <c r="Y43">
        <v>9</v>
      </c>
      <c r="Z43">
        <v>9</v>
      </c>
      <c r="AA43">
        <v>10</v>
      </c>
    </row>
    <row r="44" spans="1:27" x14ac:dyDescent="0.25">
      <c r="A44">
        <f t="shared" si="10"/>
        <v>42</v>
      </c>
      <c r="B44" t="str">
        <f t="shared" si="9"/>
        <v>3</v>
      </c>
      <c r="D44" s="8">
        <v>7</v>
      </c>
      <c r="E44">
        <f>MATCH(G44,I$2:I$47,0)-1</f>
        <v>0</v>
      </c>
      <c r="F44">
        <f t="shared" si="1"/>
        <v>1</v>
      </c>
      <c r="G44" s="1">
        <f t="shared" si="2"/>
        <v>0</v>
      </c>
      <c r="H44" s="1">
        <f t="shared" si="7"/>
        <v>1</v>
      </c>
      <c r="I44" t="str">
        <f t="shared" si="3"/>
        <v>3</v>
      </c>
      <c r="J44" t="s">
        <v>674</v>
      </c>
      <c r="L44" s="1">
        <f t="shared" si="4"/>
        <v>2</v>
      </c>
      <c r="M44" s="1">
        <f t="shared" si="5"/>
        <v>0</v>
      </c>
      <c r="N44">
        <f t="shared" si="6"/>
        <v>0</v>
      </c>
      <c r="P44" s="13">
        <f t="shared" si="8"/>
        <v>7.1818181818181817</v>
      </c>
      <c r="R44">
        <v>5</v>
      </c>
      <c r="S44">
        <v>5</v>
      </c>
      <c r="T44">
        <v>8</v>
      </c>
      <c r="U44">
        <v>7</v>
      </c>
      <c r="V44">
        <v>10</v>
      </c>
      <c r="W44">
        <v>7</v>
      </c>
      <c r="X44">
        <v>8</v>
      </c>
      <c r="Y44">
        <v>6</v>
      </c>
      <c r="Z44">
        <v>10</v>
      </c>
      <c r="AA44">
        <v>6</v>
      </c>
    </row>
    <row r="45" spans="1:27" x14ac:dyDescent="0.25">
      <c r="A45">
        <f t="shared" si="10"/>
        <v>43</v>
      </c>
      <c r="B45" t="str">
        <f t="shared" si="9"/>
        <v>3a</v>
      </c>
      <c r="D45" s="9">
        <v>9</v>
      </c>
      <c r="E45">
        <f>MATCH(G45,I$2:I$47,0)-1</f>
        <v>42</v>
      </c>
      <c r="F45">
        <f t="shared" si="1"/>
        <v>3</v>
      </c>
      <c r="G45" s="1" t="str">
        <f t="shared" si="2"/>
        <v>3</v>
      </c>
      <c r="H45" s="1">
        <f t="shared" si="7"/>
        <v>2</v>
      </c>
      <c r="I45" t="str">
        <f t="shared" si="3"/>
        <v>3.1</v>
      </c>
      <c r="J45" t="s">
        <v>675</v>
      </c>
      <c r="L45" s="1">
        <f t="shared" si="4"/>
        <v>4</v>
      </c>
      <c r="M45" s="1" t="str">
        <f t="shared" si="5"/>
        <v>3</v>
      </c>
      <c r="N45">
        <f t="shared" si="6"/>
        <v>0</v>
      </c>
      <c r="P45" s="13">
        <f t="shared" si="8"/>
        <v>8.545454545454545</v>
      </c>
      <c r="R45">
        <v>7</v>
      </c>
      <c r="S45">
        <v>10</v>
      </c>
      <c r="T45">
        <v>10</v>
      </c>
      <c r="U45">
        <v>10</v>
      </c>
      <c r="V45">
        <v>10</v>
      </c>
      <c r="W45">
        <v>7</v>
      </c>
      <c r="X45">
        <v>9</v>
      </c>
      <c r="Y45">
        <v>8</v>
      </c>
      <c r="Z45">
        <v>4</v>
      </c>
      <c r="AA45">
        <v>10</v>
      </c>
    </row>
    <row r="46" spans="1:27" x14ac:dyDescent="0.25">
      <c r="A46">
        <f t="shared" si="10"/>
        <v>44</v>
      </c>
      <c r="B46" t="str">
        <f t="shared" si="9"/>
        <v>3b</v>
      </c>
      <c r="D46" s="9">
        <v>5</v>
      </c>
      <c r="E46">
        <f>MATCH(G46,I$2:I$47,0)-1</f>
        <v>42</v>
      </c>
      <c r="F46">
        <f t="shared" si="1"/>
        <v>3</v>
      </c>
      <c r="G46" s="1" t="str">
        <f t="shared" si="2"/>
        <v>3</v>
      </c>
      <c r="H46" s="1">
        <f t="shared" si="7"/>
        <v>2</v>
      </c>
      <c r="I46" t="str">
        <f t="shared" si="3"/>
        <v>3.2</v>
      </c>
      <c r="J46" t="s">
        <v>676</v>
      </c>
      <c r="L46" s="1">
        <f t="shared" si="4"/>
        <v>4</v>
      </c>
      <c r="M46" s="1" t="str">
        <f t="shared" si="5"/>
        <v>3</v>
      </c>
      <c r="N46">
        <f t="shared" si="6"/>
        <v>0</v>
      </c>
      <c r="P46" s="13">
        <f t="shared" si="8"/>
        <v>5.4545454545454541</v>
      </c>
      <c r="R46">
        <v>4</v>
      </c>
      <c r="S46">
        <v>4</v>
      </c>
      <c r="T46">
        <v>4</v>
      </c>
      <c r="U46">
        <v>6</v>
      </c>
      <c r="V46">
        <v>7</v>
      </c>
      <c r="W46">
        <v>7</v>
      </c>
      <c r="X46">
        <v>5</v>
      </c>
      <c r="Y46">
        <v>4</v>
      </c>
      <c r="Z46">
        <v>8</v>
      </c>
      <c r="AA46">
        <v>6</v>
      </c>
    </row>
    <row r="47" spans="1:27" x14ac:dyDescent="0.25">
      <c r="A47">
        <f t="shared" si="10"/>
        <v>45</v>
      </c>
      <c r="B47" t="str">
        <f t="shared" si="9"/>
        <v>3c</v>
      </c>
      <c r="D47" s="9">
        <v>5</v>
      </c>
      <c r="E47">
        <f>MATCH(G47,I$2:I$47,0)-1</f>
        <v>42</v>
      </c>
      <c r="F47">
        <f t="shared" si="1"/>
        <v>3</v>
      </c>
      <c r="G47" s="1" t="str">
        <f t="shared" si="2"/>
        <v>3</v>
      </c>
      <c r="H47" s="1">
        <f t="shared" si="7"/>
        <v>2</v>
      </c>
      <c r="I47" t="str">
        <f t="shared" si="3"/>
        <v>3.3</v>
      </c>
      <c r="J47" t="s">
        <v>677</v>
      </c>
      <c r="L47" s="1">
        <f t="shared" si="4"/>
        <v>4</v>
      </c>
      <c r="M47" s="1" t="str">
        <f t="shared" si="5"/>
        <v>3</v>
      </c>
      <c r="N47">
        <f t="shared" si="6"/>
        <v>0</v>
      </c>
      <c r="P47" s="13">
        <f t="shared" si="8"/>
        <v>5.1818181818181817</v>
      </c>
      <c r="R47">
        <v>5</v>
      </c>
      <c r="S47">
        <v>6</v>
      </c>
      <c r="T47">
        <v>6</v>
      </c>
      <c r="U47">
        <v>5</v>
      </c>
      <c r="V47">
        <v>6</v>
      </c>
      <c r="W47">
        <v>5</v>
      </c>
      <c r="X47">
        <v>6</v>
      </c>
      <c r="Y47">
        <v>4</v>
      </c>
      <c r="Z47">
        <v>5</v>
      </c>
      <c r="AA47">
        <v>4</v>
      </c>
    </row>
  </sheetData>
  <autoFilter ref="A1:J47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tabColor rgb="FF00B050"/>
  </sheetPr>
  <dimension ref="A1:D47"/>
  <sheetViews>
    <sheetView workbookViewId="0">
      <selection activeCell="C54" sqref="C54"/>
    </sheetView>
  </sheetViews>
  <sheetFormatPr defaultRowHeight="15" x14ac:dyDescent="0.25"/>
  <cols>
    <col min="3" max="3" width="62.28515625" customWidth="1"/>
  </cols>
  <sheetData>
    <row r="1" spans="1:4" ht="15.75" x14ac:dyDescent="0.25">
      <c r="A1" s="4" t="s">
        <v>84</v>
      </c>
      <c r="B1" s="4" t="s">
        <v>101</v>
      </c>
      <c r="C1" s="4" t="s">
        <v>102</v>
      </c>
      <c r="D1" s="6" t="s">
        <v>103</v>
      </c>
    </row>
    <row r="2" spans="1:4" ht="15.75" x14ac:dyDescent="0.25">
      <c r="A2" s="19">
        <f>weight_E!H2</f>
        <v>0</v>
      </c>
      <c r="B2" s="19">
        <f>weight_E!I2</f>
        <v>0</v>
      </c>
      <c r="C2" s="4" t="s">
        <v>631</v>
      </c>
      <c r="D2" s="5"/>
    </row>
    <row r="3" spans="1:4" ht="31.5" x14ac:dyDescent="0.25">
      <c r="A3" s="16">
        <f>weight_E!H3</f>
        <v>1</v>
      </c>
      <c r="B3" s="16" t="str">
        <f>weight_E!I3</f>
        <v>1</v>
      </c>
      <c r="C3" s="17" t="str">
        <f>TRIM(СжПробелы1(RIGHT(weight_E!J3,LEN(weight_E!J3)-LEN(weight_E!I3)-1)))</f>
        <v>Направленность поддержание рабочего состояния организации</v>
      </c>
      <c r="D3" s="16">
        <f>weight_E!D3</f>
        <v>10</v>
      </c>
    </row>
    <row r="4" spans="1:4" ht="15.75" x14ac:dyDescent="0.25">
      <c r="A4" s="19">
        <f>weight_E!H4</f>
        <v>2</v>
      </c>
      <c r="B4" s="19" t="str">
        <f>weight_E!I4</f>
        <v>1.1</v>
      </c>
      <c r="C4" s="7" t="str">
        <f>TRIM(СжПробелы1(RIGHT(weight_E!J4,LEN(weight_E!J4)-LEN(weight_E!I4)-1)))</f>
        <v>Функционирование</v>
      </c>
      <c r="D4" s="19">
        <f>weight_E!D4</f>
        <v>10</v>
      </c>
    </row>
    <row r="5" spans="1:4" ht="15.75" x14ac:dyDescent="0.25">
      <c r="A5" s="19">
        <f>weight_E!H5</f>
        <v>3</v>
      </c>
      <c r="B5" s="19" t="str">
        <f>weight_E!I5</f>
        <v>1.1.1</v>
      </c>
      <c r="C5" s="7" t="str">
        <f>TRIM(СжПробелы1(RIGHT(weight_E!J5,LEN(weight_E!J5)-LEN(weight_E!I5)-1)))</f>
        <v>Постоянный приток ресурсов</v>
      </c>
      <c r="D5" s="19">
        <f>weight_E!D5</f>
        <v>9</v>
      </c>
    </row>
    <row r="6" spans="1:4" ht="15.75" x14ac:dyDescent="0.25">
      <c r="A6" s="19">
        <f>weight_E!H6</f>
        <v>3</v>
      </c>
      <c r="B6" s="19" t="str">
        <f>weight_E!I6</f>
        <v>1.1.2</v>
      </c>
      <c r="C6" s="7" t="str">
        <f>TRIM(СжПробелы1(RIGHT(weight_E!J6,LEN(weight_E!J6)-LEN(weight_E!I6)-1)))</f>
        <v>Техническое обслуживание</v>
      </c>
      <c r="D6" s="19">
        <f>weight_E!D6</f>
        <v>10</v>
      </c>
    </row>
    <row r="7" spans="1:4" ht="15.75" x14ac:dyDescent="0.25">
      <c r="A7" s="19">
        <f>weight_E!H7</f>
        <v>3</v>
      </c>
      <c r="B7" s="19" t="str">
        <f>weight_E!I7</f>
        <v>1.1.3</v>
      </c>
      <c r="C7" s="7" t="str">
        <f>TRIM(СжПробелы1(RIGHT(weight_E!J7,LEN(weight_E!J7)-LEN(weight_E!I7)-1)))</f>
        <v>Контроль деятельности</v>
      </c>
      <c r="D7" s="19">
        <f>weight_E!D7</f>
        <v>10</v>
      </c>
    </row>
    <row r="8" spans="1:4" ht="15.75" x14ac:dyDescent="0.25">
      <c r="A8" s="19">
        <f>weight_E!H8</f>
        <v>2</v>
      </c>
      <c r="B8" s="19" t="str">
        <f>weight_E!I8</f>
        <v>1.2</v>
      </c>
      <c r="C8" s="7" t="str">
        <f>TRIM(СжПробелы1(RIGHT(weight_E!J8,LEN(weight_E!J8)-LEN(weight_E!I8)-1)))</f>
        <v>Усовершенствование</v>
      </c>
      <c r="D8" s="19">
        <f>weight_E!D8</f>
        <v>9</v>
      </c>
    </row>
    <row r="9" spans="1:4" ht="15.75" x14ac:dyDescent="0.25">
      <c r="A9" s="19">
        <f>weight_E!H9</f>
        <v>3</v>
      </c>
      <c r="B9" s="19" t="str">
        <f>weight_E!I9</f>
        <v>1.2.1</v>
      </c>
      <c r="C9" s="7" t="str">
        <f>TRIM(СжПробелы1(RIGHT(weight_E!J9,LEN(weight_E!J9)-LEN(weight_E!I9)-1)))</f>
        <v>Повышение производительности труда</v>
      </c>
      <c r="D9" s="19">
        <f>weight_E!D9</f>
        <v>8</v>
      </c>
    </row>
    <row r="10" spans="1:4" ht="15.75" x14ac:dyDescent="0.25">
      <c r="A10" s="19">
        <f>weight_E!H10</f>
        <v>3</v>
      </c>
      <c r="B10" s="19" t="str">
        <f>weight_E!I10</f>
        <v>1.2.2</v>
      </c>
      <c r="C10" s="7" t="str">
        <f>TRIM(СжПробелы1(RIGHT(weight_E!J10,LEN(weight_E!J10)-LEN(weight_E!I10)-1)))</f>
        <v>Увеличение доли товаров организации на рынке</v>
      </c>
      <c r="D10" s="19">
        <f>weight_E!D10</f>
        <v>4</v>
      </c>
    </row>
    <row r="11" spans="1:4" ht="15.75" x14ac:dyDescent="0.25">
      <c r="A11" s="19">
        <f>weight_E!H11</f>
        <v>2</v>
      </c>
      <c r="B11" s="19" t="str">
        <f>weight_E!I11</f>
        <v>1.3</v>
      </c>
      <c r="C11" s="7" t="str">
        <f>TRIM(СжПробелы1(RIGHT(weight_E!J11,LEN(weight_E!J11)-LEN(weight_E!I11)-1)))</f>
        <v>Развитие</v>
      </c>
      <c r="D11" s="19">
        <f>weight_E!D11</f>
        <v>7</v>
      </c>
    </row>
    <row r="12" spans="1:4" ht="15.75" x14ac:dyDescent="0.25">
      <c r="A12" s="19">
        <f>weight_E!H12</f>
        <v>3</v>
      </c>
      <c r="B12" s="19" t="str">
        <f>weight_E!I12</f>
        <v>1.3.1</v>
      </c>
      <c r="C12" s="7" t="str">
        <f>TRIM(СжПробелы1(RIGHT(weight_E!J12,LEN(weight_E!J12)-LEN(weight_E!I12)-1)))</f>
        <v>Рост организации</v>
      </c>
      <c r="D12" s="19">
        <f>weight_E!D12</f>
        <v>7</v>
      </c>
    </row>
    <row r="13" spans="1:4" ht="15.75" x14ac:dyDescent="0.25">
      <c r="A13" s="19">
        <f>weight_E!H13</f>
        <v>3</v>
      </c>
      <c r="B13" s="19" t="str">
        <f>weight_E!I13</f>
        <v>1.3.2</v>
      </c>
      <c r="C13" s="7" t="str">
        <f>TRIM(СжПробелы1(RIGHT(weight_E!J13,LEN(weight_E!J13)-LEN(weight_E!I13)-1)))</f>
        <v>Расширение организации</v>
      </c>
      <c r="D13" s="19">
        <f>weight_E!D13</f>
        <v>7</v>
      </c>
    </row>
    <row r="14" spans="1:4" ht="15.75" x14ac:dyDescent="0.25">
      <c r="A14" s="19">
        <f>weight_E!H14</f>
        <v>3</v>
      </c>
      <c r="B14" s="19" t="str">
        <f>weight_E!I14</f>
        <v>1.3.3</v>
      </c>
      <c r="C14" s="7" t="str">
        <f>TRIM(СжПробелы1(RIGHT(weight_E!J14,LEN(weight_E!J14)-LEN(weight_E!I14)-1)))</f>
        <v>Обучение персонала</v>
      </c>
      <c r="D14" s="19">
        <f>weight_E!D14</f>
        <v>9</v>
      </c>
    </row>
    <row r="15" spans="1:4" ht="15.75" x14ac:dyDescent="0.25">
      <c r="A15" s="19">
        <f>weight_E!H15</f>
        <v>3</v>
      </c>
      <c r="B15" s="19" t="str">
        <f>weight_E!I15</f>
        <v>1.3.4</v>
      </c>
      <c r="C15" s="7" t="str">
        <f>TRIM(СжПробелы1(RIGHT(weight_E!J15,LEN(weight_E!J15)-LEN(weight_E!I15)-1)))</f>
        <v>Прогресс</v>
      </c>
      <c r="D15" s="19">
        <f>weight_E!D15</f>
        <v>8</v>
      </c>
    </row>
    <row r="16" spans="1:4" ht="15.75" x14ac:dyDescent="0.25">
      <c r="A16" s="19">
        <f>weight_E!H16</f>
        <v>3</v>
      </c>
      <c r="B16" s="19" t="str">
        <f>weight_E!I16</f>
        <v>1.3.5</v>
      </c>
      <c r="C16" s="7" t="str">
        <f>TRIM(СжПробелы1(RIGHT(weight_E!J16,LEN(weight_E!J16)-LEN(weight_E!I16)-1)))</f>
        <v>Расширение ассортимента производимых товаров и услуг</v>
      </c>
      <c r="D16" s="19">
        <f>weight_E!D16</f>
        <v>6</v>
      </c>
    </row>
    <row r="17" spans="1:4" ht="15.75" x14ac:dyDescent="0.25">
      <c r="A17" s="19">
        <f>weight_E!H17</f>
        <v>3</v>
      </c>
      <c r="B17" s="19" t="str">
        <f>weight_E!I17</f>
        <v>1.3.6</v>
      </c>
      <c r="C17" s="7" t="str">
        <f>TRIM(СжПробелы1(RIGHT(weight_E!J17,LEN(weight_E!J17)-LEN(weight_E!I17)-1)))</f>
        <v>Инновации в области менеджмента</v>
      </c>
      <c r="D17" s="19">
        <f>weight_E!D17</f>
        <v>9</v>
      </c>
    </row>
    <row r="18" spans="1:4" ht="15.75" x14ac:dyDescent="0.25">
      <c r="A18" s="19">
        <f>weight_E!H18</f>
        <v>3</v>
      </c>
      <c r="B18" s="19" t="str">
        <f>weight_E!I18</f>
        <v>1.3.7</v>
      </c>
      <c r="C18" s="7" t="str">
        <f>TRIM(СжПробелы1(RIGHT(weight_E!J18,LEN(weight_E!J18)-LEN(weight_E!I18)-1)))</f>
        <v>Реорганизация структуры управления</v>
      </c>
      <c r="D18" s="19">
        <f>weight_E!D18</f>
        <v>6</v>
      </c>
    </row>
    <row r="19" spans="1:4" ht="31.5" x14ac:dyDescent="0.25">
      <c r="A19" s="16">
        <f>weight_E!H19</f>
        <v>1</v>
      </c>
      <c r="B19" s="16" t="str">
        <f>weight_E!I19</f>
        <v>2</v>
      </c>
      <c r="C19" s="17" t="str">
        <f>TRIM(СжПробелы1(RIGHT(weight_E!J19,LEN(weight_E!J19)-LEN(weight_E!I19)-1)))</f>
        <v>Критерии по отношению к основным показателям успешной деятельности организации</v>
      </c>
      <c r="D19" s="16">
        <f>weight_E!D19</f>
        <v>7</v>
      </c>
    </row>
    <row r="20" spans="1:4" ht="15.75" x14ac:dyDescent="0.25">
      <c r="A20" s="19">
        <f>weight_E!H20</f>
        <v>2</v>
      </c>
      <c r="B20" s="19" t="str">
        <f>weight_E!I20</f>
        <v>2.1</v>
      </c>
      <c r="C20" s="7" t="str">
        <f>TRIM(СжПробелы1(RIGHT(weight_E!J20,LEN(weight_E!J20)-LEN(weight_E!I20)-1)))</f>
        <v>Продуктивность</v>
      </c>
      <c r="D20" s="19">
        <f>weight_E!D20</f>
        <v>7</v>
      </c>
    </row>
    <row r="21" spans="1:4" ht="15.75" x14ac:dyDescent="0.25">
      <c r="A21" s="19">
        <f>weight_E!H21</f>
        <v>3</v>
      </c>
      <c r="B21" s="19" t="str">
        <f>weight_E!I21</f>
        <v>2.1.1</v>
      </c>
      <c r="C21" s="7" t="str">
        <f>TRIM(СжПробелы1(RIGHT(weight_E!J21,LEN(weight_E!J21)-LEN(weight_E!I21)-1)))</f>
        <v>В расчете на одного работника</v>
      </c>
      <c r="D21" s="19">
        <f>weight_E!D21</f>
        <v>9</v>
      </c>
    </row>
    <row r="22" spans="1:4" ht="15.75" x14ac:dyDescent="0.25">
      <c r="A22" s="19">
        <f>weight_E!H22</f>
        <v>3</v>
      </c>
      <c r="B22" s="19" t="str">
        <f>weight_E!I22</f>
        <v>2.1.2</v>
      </c>
      <c r="C22" s="7" t="str">
        <f>TRIM(СжПробелы1(RIGHT(weight_E!J22,LEN(weight_E!J22)-LEN(weight_E!I22)-1)))</f>
        <v>В расчете на производственные мощности</v>
      </c>
      <c r="D22" s="19">
        <f>weight_E!D22</f>
        <v>9</v>
      </c>
    </row>
    <row r="23" spans="1:4" ht="15.75" x14ac:dyDescent="0.25">
      <c r="A23" s="19">
        <f>weight_E!H23</f>
        <v>3</v>
      </c>
      <c r="B23" s="19" t="str">
        <f>weight_E!I23</f>
        <v>2.1.3</v>
      </c>
      <c r="C23" s="7" t="str">
        <f>TRIM(СжПробелы1(RIGHT(weight_E!J23,LEN(weight_E!J23)-LEN(weight_E!I23)-1)))</f>
        <v>В расчете на единицу времени</v>
      </c>
      <c r="D23" s="19">
        <f>weight_E!D23</f>
        <v>9</v>
      </c>
    </row>
    <row r="24" spans="1:4" ht="15.75" x14ac:dyDescent="0.25">
      <c r="A24" s="19">
        <f>weight_E!H24</f>
        <v>2</v>
      </c>
      <c r="B24" s="19" t="str">
        <f>weight_E!I24</f>
        <v>2.2</v>
      </c>
      <c r="C24" s="7" t="str">
        <f>TRIM(СжПробелы1(RIGHT(weight_E!J24,LEN(weight_E!J24)-LEN(weight_E!I24)-1)))</f>
        <v>Рыночные критерии</v>
      </c>
      <c r="D24" s="19">
        <f>weight_E!D24</f>
        <v>5</v>
      </c>
    </row>
    <row r="25" spans="1:4" ht="15.75" x14ac:dyDescent="0.25">
      <c r="A25" s="19">
        <f>weight_E!H25</f>
        <v>3</v>
      </c>
      <c r="B25" s="19" t="str">
        <f>weight_E!I25</f>
        <v>2.2.1</v>
      </c>
      <c r="C25" s="7" t="str">
        <f>TRIM(СжПробелы1(RIGHT(weight_E!J25,LEN(weight_E!J25)-LEN(weight_E!I25)-1)))</f>
        <v>Устойчивость спроса на товар или услугу</v>
      </c>
      <c r="D25" s="19">
        <f>weight_E!D25</f>
        <v>7</v>
      </c>
    </row>
    <row r="26" spans="1:4" ht="15.75" x14ac:dyDescent="0.25">
      <c r="A26" s="19">
        <f>weight_E!H26</f>
        <v>3</v>
      </c>
      <c r="B26" s="19" t="str">
        <f>weight_E!I26</f>
        <v>2.2.2</v>
      </c>
      <c r="C26" s="7" t="str">
        <f>TRIM(СжПробелы1(RIGHT(weight_E!J26,LEN(weight_E!J26)-LEN(weight_E!I26)-1)))</f>
        <v>Доля товара или услуге на рынке</v>
      </c>
      <c r="D26" s="19">
        <f>weight_E!D26</f>
        <v>5</v>
      </c>
    </row>
    <row r="27" spans="1:4" ht="15.75" x14ac:dyDescent="0.25">
      <c r="A27" s="19">
        <f>weight_E!H27</f>
        <v>3</v>
      </c>
      <c r="B27" s="19" t="str">
        <f>weight_E!I27</f>
        <v>2.2.3</v>
      </c>
      <c r="C27" s="7" t="str">
        <f>TRIM(СжПробелы1(RIGHT(weight_E!J27,LEN(weight_E!J27)-LEN(weight_E!I27)-1)))</f>
        <v>Объем продаж</v>
      </c>
      <c r="D27" s="19">
        <f>weight_E!D27</f>
        <v>3</v>
      </c>
    </row>
    <row r="28" spans="1:4" ht="15.75" x14ac:dyDescent="0.25">
      <c r="A28" s="19">
        <f>weight_E!H28</f>
        <v>2</v>
      </c>
      <c r="B28" s="19" t="str">
        <f>weight_E!I28</f>
        <v>2.3</v>
      </c>
      <c r="C28" s="7" t="str">
        <f>TRIM(СжПробелы1(RIGHT(weight_E!J28,LEN(weight_E!J28)-LEN(weight_E!I28)-1)))</f>
        <v>Ресурсы</v>
      </c>
      <c r="D28" s="19">
        <f>weight_E!D28</f>
        <v>10</v>
      </c>
    </row>
    <row r="29" spans="1:4" ht="15.75" x14ac:dyDescent="0.25">
      <c r="A29" s="19">
        <f>weight_E!H29</f>
        <v>3</v>
      </c>
      <c r="B29" s="19" t="str">
        <f>weight_E!I29</f>
        <v>2.3.1</v>
      </c>
      <c r="C29" s="7" t="str">
        <f>TRIM(СжПробелы1(RIGHT(weight_E!J29,LEN(weight_E!J29)-LEN(weight_E!I29)-1)))</f>
        <v>Сокращение объемов кредитов</v>
      </c>
      <c r="D29" s="19">
        <f>weight_E!D29</f>
        <v>5</v>
      </c>
    </row>
    <row r="30" spans="1:4" ht="15.75" x14ac:dyDescent="0.25">
      <c r="A30" s="19">
        <f>weight_E!H30</f>
        <v>3</v>
      </c>
      <c r="B30" s="19" t="str">
        <f>weight_E!I30</f>
        <v>2.3.2</v>
      </c>
      <c r="C30" s="7" t="str">
        <f>TRIM(СжПробелы1(RIGHT(weight_E!J30,LEN(weight_E!J30)-LEN(weight_E!I30)-1)))</f>
        <v>Прогнозирование финансовых вливаний</v>
      </c>
      <c r="D30" s="19">
        <f>weight_E!D30</f>
        <v>7</v>
      </c>
    </row>
    <row r="31" spans="1:4" ht="15.75" x14ac:dyDescent="0.25">
      <c r="A31" s="19">
        <f>weight_E!H31</f>
        <v>3</v>
      </c>
      <c r="B31" s="19" t="str">
        <f>weight_E!I31</f>
        <v>2.3.3</v>
      </c>
      <c r="C31" s="7" t="str">
        <f>TRIM(СжПробелы1(RIGHT(weight_E!J31,LEN(weight_E!J31)-LEN(weight_E!I31)-1)))</f>
        <v>Повышение производительности труда</v>
      </c>
      <c r="D31" s="19">
        <f>weight_E!D31</f>
        <v>9</v>
      </c>
    </row>
    <row r="32" spans="1:4" ht="15.75" x14ac:dyDescent="0.25">
      <c r="A32" s="19">
        <f>weight_E!H32</f>
        <v>3</v>
      </c>
      <c r="B32" s="19" t="str">
        <f>weight_E!I32</f>
        <v>2.3.4</v>
      </c>
      <c r="C32" s="7" t="str">
        <f>TRIM(СжПробелы1(RIGHT(weight_E!J32,LEN(weight_E!J32)-LEN(weight_E!I32)-1)))</f>
        <v>Сокращение текучести кадров</v>
      </c>
      <c r="D32" s="19">
        <f>weight_E!D32</f>
        <v>10</v>
      </c>
    </row>
    <row r="33" spans="1:4" ht="15.75" x14ac:dyDescent="0.25">
      <c r="A33" s="19">
        <f>weight_E!H33</f>
        <v>2</v>
      </c>
      <c r="B33" s="19" t="str">
        <f>weight_E!I33</f>
        <v>2.4</v>
      </c>
      <c r="C33" s="7" t="str">
        <f>TRIM(СжПробелы1(RIGHT(weight_E!J33,LEN(weight_E!J33)-LEN(weight_E!I33)-1)))</f>
        <v>Обновление</v>
      </c>
      <c r="D33" s="19">
        <f>weight_E!D33</f>
        <v>9</v>
      </c>
    </row>
    <row r="34" spans="1:4" ht="15.75" x14ac:dyDescent="0.25">
      <c r="A34" s="19">
        <f>weight_E!H34</f>
        <v>3</v>
      </c>
      <c r="B34" s="19" t="str">
        <f>weight_E!I34</f>
        <v>2.4.1</v>
      </c>
      <c r="C34" s="7" t="str">
        <f>TRIM(СжПробелы1(RIGHT(weight_E!J34,LEN(weight_E!J34)-LEN(weight_E!I34)-1)))</f>
        <v>Приспосабливаемость к внешним условиям</v>
      </c>
      <c r="D34" s="19">
        <f>weight_E!D34</f>
        <v>10</v>
      </c>
    </row>
    <row r="35" spans="1:4" ht="15.75" x14ac:dyDescent="0.25">
      <c r="A35" s="19">
        <f>weight_E!H35</f>
        <v>4</v>
      </c>
      <c r="B35" s="19" t="str">
        <f>weight_E!I35</f>
        <v>2.4.1.1</v>
      </c>
      <c r="C35" s="7" t="str">
        <f>TRIM(СжПробелы1(RIGHT(weight_E!J35,LEN(weight_E!J35)-LEN(weight_E!I35)-1)))</f>
        <v>Политические условия</v>
      </c>
      <c r="D35" s="19">
        <f>weight_E!D35</f>
        <v>6</v>
      </c>
    </row>
    <row r="36" spans="1:4" ht="15.75" x14ac:dyDescent="0.25">
      <c r="A36" s="19">
        <f>weight_E!H36</f>
        <v>4</v>
      </c>
      <c r="B36" s="19" t="str">
        <f>weight_E!I36</f>
        <v>2.4.1.2</v>
      </c>
      <c r="C36" s="7" t="str">
        <f>TRIM(СжПробелы1(RIGHT(weight_E!J36,LEN(weight_E!J36)-LEN(weight_E!I36)-1)))</f>
        <v>Социальные и демографические</v>
      </c>
      <c r="D36" s="19">
        <f>weight_E!D36</f>
        <v>8</v>
      </c>
    </row>
    <row r="37" spans="1:4" ht="15.75" x14ac:dyDescent="0.25">
      <c r="A37" s="19">
        <f>weight_E!H37</f>
        <v>4</v>
      </c>
      <c r="B37" s="19" t="str">
        <f>weight_E!I37</f>
        <v>2.4.1.3</v>
      </c>
      <c r="C37" s="7" t="str">
        <f>TRIM(СжПробелы1(RIGHT(weight_E!J37,LEN(weight_E!J37)-LEN(weight_E!I37)-1)))</f>
        <v>Рыночные</v>
      </c>
      <c r="D37" s="19">
        <f>weight_E!D37</f>
        <v>6</v>
      </c>
    </row>
    <row r="38" spans="1:4" ht="15.75" x14ac:dyDescent="0.25">
      <c r="A38" s="19">
        <f>weight_E!H38</f>
        <v>4</v>
      </c>
      <c r="B38" s="19" t="str">
        <f>weight_E!I38</f>
        <v>2.4.1.4</v>
      </c>
      <c r="C38" s="7" t="str">
        <f>TRIM(СжПробелы1(RIGHT(weight_E!J38,LEN(weight_E!J38)-LEN(weight_E!I38)-1)))</f>
        <v>Климатические</v>
      </c>
      <c r="D38" s="19">
        <f>weight_E!D38</f>
        <v>9</v>
      </c>
    </row>
    <row r="39" spans="1:4" ht="15.75" x14ac:dyDescent="0.25">
      <c r="A39" s="19">
        <f>weight_E!H39</f>
        <v>3</v>
      </c>
      <c r="B39" s="19" t="str">
        <f>weight_E!I39</f>
        <v>2.4.2</v>
      </c>
      <c r="C39" s="7" t="str">
        <f>TRIM(СжПробелы1(RIGHT(weight_E!J39,LEN(weight_E!J39)-LEN(weight_E!I39)-1)))</f>
        <v>Конкурентоспособность</v>
      </c>
      <c r="D39" s="19">
        <f>weight_E!D39</f>
        <v>5</v>
      </c>
    </row>
    <row r="40" spans="1:4" ht="15.75" x14ac:dyDescent="0.25">
      <c r="A40" s="19">
        <f>weight_E!H40</f>
        <v>2</v>
      </c>
      <c r="B40" s="19" t="str">
        <f>weight_E!I40</f>
        <v>2.5</v>
      </c>
      <c r="C40" s="7" t="str">
        <f>TRIM(СжПробелы1(RIGHT(weight_E!J40,LEN(weight_E!J40)-LEN(weight_E!I40)-1)))</f>
        <v>Прибыльность</v>
      </c>
      <c r="D40" s="19">
        <f>weight_E!D40</f>
        <v>4</v>
      </c>
    </row>
    <row r="41" spans="1:4" ht="15.75" x14ac:dyDescent="0.25">
      <c r="A41" s="19">
        <f>weight_E!H41</f>
        <v>3</v>
      </c>
      <c r="B41" s="19" t="str">
        <f>weight_E!I41</f>
        <v>2.5.1</v>
      </c>
      <c r="C41" s="7" t="str">
        <f>TRIM(СжПробелы1(RIGHT(weight_E!J41,LEN(weight_E!J41)-LEN(weight_E!I41)-1)))</f>
        <v>Повышение рентабельности</v>
      </c>
      <c r="D41" s="19">
        <f>weight_E!D41</f>
        <v>9</v>
      </c>
    </row>
    <row r="42" spans="1:4" ht="15.75" x14ac:dyDescent="0.25">
      <c r="A42" s="19">
        <f>weight_E!H42</f>
        <v>3</v>
      </c>
      <c r="B42" s="19" t="str">
        <f>weight_E!I42</f>
        <v>2.5.2</v>
      </c>
      <c r="C42" s="7" t="str">
        <f>TRIM(СжПробелы1(RIGHT(weight_E!J42,LEN(weight_E!J42)-LEN(weight_E!I42)-1)))</f>
        <v>Увеличение дивидендов</v>
      </c>
      <c r="D42" s="19">
        <f>weight_E!D42</f>
        <v>4</v>
      </c>
    </row>
    <row r="43" spans="1:4" ht="15.75" x14ac:dyDescent="0.25">
      <c r="A43" s="19">
        <f>weight_E!H43</f>
        <v>2</v>
      </c>
      <c r="B43" s="19" t="str">
        <f>weight_E!I43</f>
        <v>2.6</v>
      </c>
      <c r="C43" s="7" t="str">
        <f>TRIM(СжПробелы1(RIGHT(weight_E!J43,LEN(weight_E!J43)-LEN(weight_E!I43)-1)))</f>
        <v>Социальная ответственность</v>
      </c>
      <c r="D43" s="19">
        <f>weight_E!D43</f>
        <v>10</v>
      </c>
    </row>
    <row r="44" spans="1:4" ht="26.25" customHeight="1" x14ac:dyDescent="0.25">
      <c r="A44" s="16">
        <f>weight_E!H44</f>
        <v>1</v>
      </c>
      <c r="B44" s="16" t="str">
        <f>weight_E!I44</f>
        <v>3</v>
      </c>
      <c r="C44" s="17" t="str">
        <f>TRIM(СжПробелы1(RIGHT(weight_E!J44,LEN(weight_E!J44)-LEN(weight_E!I44)-1)))</f>
        <v>Ориентация по времени</v>
      </c>
      <c r="D44" s="16">
        <f>weight_E!D44</f>
        <v>7</v>
      </c>
    </row>
    <row r="45" spans="1:4" ht="15.75" x14ac:dyDescent="0.25">
      <c r="A45" s="19">
        <f>weight_E!H45</f>
        <v>2</v>
      </c>
      <c r="B45" s="19" t="str">
        <f>weight_E!I45</f>
        <v>3.1</v>
      </c>
      <c r="C45" s="7" t="str">
        <f>TRIM(СжПробелы1(RIGHT(weight_E!J45,LEN(weight_E!J45)-LEN(weight_E!I45)-1)))</f>
        <v>Текущие цели</v>
      </c>
      <c r="D45" s="19">
        <f>weight_E!D45</f>
        <v>9</v>
      </c>
    </row>
    <row r="46" spans="1:4" ht="15.75" x14ac:dyDescent="0.25">
      <c r="A46" s="19">
        <f>weight_E!H46</f>
        <v>2</v>
      </c>
      <c r="B46" s="19" t="str">
        <f>weight_E!I46</f>
        <v>3.2</v>
      </c>
      <c r="C46" s="7" t="str">
        <f>TRIM(СжПробелы1(RIGHT(weight_E!J46,LEN(weight_E!J46)-LEN(weight_E!I46)-1)))</f>
        <v>Среднесрочные цели</v>
      </c>
      <c r="D46" s="19">
        <f>weight_E!D46</f>
        <v>5</v>
      </c>
    </row>
    <row r="47" spans="1:4" ht="15.75" x14ac:dyDescent="0.25">
      <c r="A47" s="19">
        <f>weight_E!H47</f>
        <v>2</v>
      </c>
      <c r="B47" s="19" t="str">
        <f>weight_E!I47</f>
        <v>3.3</v>
      </c>
      <c r="C47" s="7" t="str">
        <f>TRIM(СжПробелы1(RIGHT(weight_E!J47,LEN(weight_E!J47)-LEN(weight_E!I47)-1)))</f>
        <v>Долгосрочные цели</v>
      </c>
      <c r="D47" s="19">
        <f>weight_E!D47</f>
        <v>5</v>
      </c>
    </row>
  </sheetData>
  <autoFilter ref="A1:D47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12</vt:i4>
      </vt:variant>
      <vt:variant>
        <vt:lpstr>Именованные диапазоны</vt:lpstr>
      </vt:variant>
      <vt:variant>
        <vt:i4>8</vt:i4>
      </vt:variant>
    </vt:vector>
  </HeadingPairs>
  <TitlesOfParts>
    <vt:vector size="20" baseType="lpstr">
      <vt:lpstr>node</vt:lpstr>
      <vt:lpstr>edge</vt:lpstr>
      <vt:lpstr>weight</vt:lpstr>
      <vt:lpstr>Word</vt:lpstr>
      <vt:lpstr>Mtx</vt:lpstr>
      <vt:lpstr>Лист1</vt:lpstr>
      <vt:lpstr>Лист2</vt:lpstr>
      <vt:lpstr>Лист3</vt:lpstr>
      <vt:lpstr>node_E</vt:lpstr>
      <vt:lpstr>edge_E</vt:lpstr>
      <vt:lpstr>weight_E</vt:lpstr>
      <vt:lpstr>Word_E</vt:lpstr>
      <vt:lpstr>Лист2!edge_exp</vt:lpstr>
      <vt:lpstr>node!node</vt:lpstr>
      <vt:lpstr>node_E!node</vt:lpstr>
      <vt:lpstr>weight!node</vt:lpstr>
      <vt:lpstr>weight_E!node</vt:lpstr>
      <vt:lpstr>weight!node_1</vt:lpstr>
      <vt:lpstr>weight_E!node_1</vt:lpstr>
      <vt:lpstr>Лист1!node_exp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Vlasov</dc:creator>
  <cp:lastModifiedBy>Vlasov</cp:lastModifiedBy>
  <cp:lastPrinted>2022-05-19T08:11:25Z</cp:lastPrinted>
  <dcterms:created xsi:type="dcterms:W3CDTF">2022-05-14T11:34:31Z</dcterms:created>
  <dcterms:modified xsi:type="dcterms:W3CDTF">2022-06-04T17:47:53Z</dcterms:modified>
</cp:coreProperties>
</file>